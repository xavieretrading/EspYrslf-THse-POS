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00" tabRatio="600" firstSheet="0" activeTab="2" autoFilterDateGrouping="1"/>
  </bookViews>
  <sheets>
    <sheet name="📋 Complete Inventory Audit" sheetId="1" state="visible" r:id="rId1"/>
    <sheet name="☕ Beverage Sales &amp; Variance" sheetId="2" state="visible" r:id="rId2"/>
    <sheet name="Pull-Outs &amp; Wastage 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₱&quot;#,##0.00"/>
    <numFmt numFmtId="165" formatCode="₱#,##0.00"/>
  </numFmts>
  <fonts count="54">
    <font>
      <name val="Calibri"/>
      <charset val="134"/>
      <color theme="1"/>
      <sz val="11"/>
      <scheme val="minor"/>
    </font>
    <font>
      <name val="Segoe UI"/>
      <charset val="134"/>
      <b val="1"/>
      <color rgb="FFFFFFFF"/>
      <sz val="16"/>
    </font>
    <font>
      <name val="Segoe UI"/>
      <charset val="134"/>
      <i val="1"/>
      <color rgb="FFD0E1FD"/>
      <sz val="10"/>
    </font>
    <font>
      <name val="Segoe UI"/>
      <charset val="134"/>
      <b val="1"/>
      <color rgb="FF1E293B"/>
      <sz val="12"/>
    </font>
    <font>
      <name val="Segoe UI"/>
      <charset val="134"/>
      <b val="1"/>
      <color rgb="FFFFFFFF"/>
      <sz val="9"/>
    </font>
    <font>
      <name val="Segoe UI"/>
      <charset val="134"/>
      <color rgb="FF1E293B"/>
      <sz val="9"/>
    </font>
    <font>
      <name val="Segoe UI"/>
      <charset val="134"/>
      <b val="1"/>
      <color rgb="FF1E293B"/>
      <sz val="9"/>
    </font>
    <font>
      <name val="Segoe UI"/>
      <charset val="134"/>
      <b val="1"/>
      <color rgb="FF9A3412"/>
      <sz val="8"/>
    </font>
    <font>
      <name val="Segoe UI"/>
      <charset val="134"/>
      <b val="1"/>
      <color rgb="FF92400E"/>
      <sz val="8"/>
    </font>
    <font>
      <name val="Segoe UI"/>
      <charset val="134"/>
      <b val="1"/>
      <color rgb="FF991B1B"/>
      <sz val="8"/>
    </font>
    <font>
      <name val="Segoe UI"/>
      <charset val="134"/>
      <i val="1"/>
      <color rgb="FFE0D4C3"/>
      <sz val="10"/>
    </font>
    <font>
      <name val="Segoe UI"/>
      <charset val="134"/>
      <b val="1"/>
      <color rgb="FFFFFFFF"/>
      <sz val="10"/>
    </font>
    <font>
      <name val="Segoe UI"/>
      <charset val="134"/>
      <b val="1"/>
      <color rgb="FFFFFFFF"/>
      <sz val="11"/>
    </font>
    <font>
      <name val="Segoe UI"/>
      <charset val="134"/>
      <b val="1"/>
      <color rgb="FF555555"/>
      <sz val="9"/>
    </font>
    <font>
      <name val="Segoe UI"/>
      <charset val="134"/>
      <b val="1"/>
      <color rgb="FF1F1F1F"/>
      <sz val="10"/>
    </font>
    <font>
      <name val="Segoe UI"/>
      <charset val="134"/>
      <color rgb="FF1F1F1F"/>
      <sz val="10"/>
    </font>
    <font>
      <name val="Segoe UI"/>
      <charset val="134"/>
      <b val="1"/>
      <color rgb="FF0F5132"/>
      <sz val="10"/>
    </font>
    <font>
      <name val="Segoe UI"/>
      <charset val="134"/>
      <b val="1"/>
      <color rgb="FF084298"/>
      <sz val="10"/>
    </font>
    <font>
      <name val="Segoe UI"/>
      <charset val="134"/>
      <color rgb="FF6C757D"/>
      <sz val="10"/>
    </font>
    <font>
      <name val="Segoe UI"/>
      <charset val="134"/>
      <b val="1"/>
      <color rgb="FF4A2E1B"/>
      <sz val="9"/>
    </font>
    <font>
      <name val="Segoe UI"/>
      <charset val="134"/>
      <b val="1"/>
      <color rgb="FF2C1810"/>
      <sz val="11"/>
    </font>
    <font>
      <name val="Segoe UI"/>
      <charset val="134"/>
      <b val="1"/>
      <color rgb="FF084298"/>
      <sz val="12"/>
    </font>
    <font>
      <name val="Segoe UI"/>
      <charset val="134"/>
      <b val="1"/>
      <color rgb="FF0F5132"/>
      <sz val="12"/>
    </font>
    <font>
      <name val="Segoe UI"/>
      <charset val="134"/>
      <b val="1"/>
      <color rgb="FF000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D0E1FD"/>
      <sz val="10"/>
    </font>
    <font>
      <name val="Segoe UI"/>
      <b val="1"/>
      <color rgb="000F172A"/>
      <sz val="10"/>
    </font>
    <font>
      <name val="Segoe UI"/>
      <b val="1"/>
      <color rgb="001E293B"/>
      <sz val="11"/>
    </font>
    <font>
      <name val="Segoe UI"/>
      <b val="1"/>
      <color rgb="00FFFFFF"/>
      <sz val="9"/>
    </font>
    <font>
      <name val="Segoe UI"/>
      <b val="1"/>
      <color rgb="001E293B"/>
      <sz val="9"/>
    </font>
    <font>
      <name val="Segoe UI"/>
      <b val="1"/>
      <color rgb="00991B1B"/>
      <sz val="8"/>
    </font>
    <font>
      <name val="Segoe UI"/>
      <color rgb="001E293B"/>
      <sz val="9"/>
    </font>
    <font>
      <name val="Segoe UI"/>
      <b val="1"/>
      <color rgb="0092400E"/>
      <sz val="8"/>
    </font>
    <font>
      <name val="Segoe UI"/>
      <b val="1"/>
      <color rgb="003730A3"/>
      <sz val="8"/>
    </font>
    <font>
      <name val="Segoe UI"/>
      <b val="1"/>
      <color rgb="009A3412"/>
      <sz val="8"/>
    </font>
  </fonts>
  <fills count="67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334155"/>
        <bgColor rgb="FF334155"/>
      </patternFill>
    </fill>
    <fill>
      <patternFill patternType="solid">
        <fgColor rgb="FFFFEDD5"/>
        <bgColor rgb="FFFFEDD5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E2E8F0"/>
        <bgColor rgb="FFE2E8F0"/>
      </patternFill>
    </fill>
    <fill>
      <patternFill patternType="solid">
        <fgColor rgb="FF2C1810"/>
        <bgColor rgb="FF2C1810"/>
      </patternFill>
    </fill>
    <fill>
      <patternFill patternType="solid">
        <fgColor rgb="FF4A2E1B"/>
        <bgColor rgb="FF4A2E1B"/>
      </patternFill>
    </fill>
    <fill>
      <patternFill patternType="solid">
        <fgColor rgb="FF3D2314"/>
        <bgColor rgb="FF3D2314"/>
      </patternFill>
    </fill>
    <fill>
      <patternFill patternType="solid">
        <fgColor rgb="FFFFFFFF"/>
        <bgColor rgb="FFFFFFFF"/>
      </patternFill>
    </fill>
    <fill>
      <patternFill patternType="solid">
        <fgColor rgb="FFD1E7DD"/>
        <bgColor rgb="FFD1E7DD"/>
      </patternFill>
    </fill>
    <fill>
      <patternFill patternType="solid">
        <fgColor rgb="FFFAF8F5"/>
        <bgColor rgb="FFFAF8F5"/>
      </patternFill>
    </fill>
    <fill>
      <patternFill patternType="solid">
        <fgColor rgb="FFCFE2FF"/>
        <bgColor rgb="FFCFE2FF"/>
      </patternFill>
    </fill>
    <fill>
      <patternFill patternType="solid">
        <fgColor rgb="FFF5F5F5"/>
        <bgColor rgb="FFF5F5F5"/>
      </patternFill>
    </fill>
    <fill>
      <patternFill patternType="solid">
        <fgColor rgb="FFF2EDE4"/>
        <bgColor rgb="FFF2EDE4"/>
      </patternFill>
    </fill>
    <fill>
      <patternFill patternType="solid">
        <fgColor rgb="FF1A4870"/>
        <bgColor rgb="FF1A4870"/>
      </patternFill>
    </fill>
    <fill>
      <patternFill patternType="solid">
        <fgColor rgb="FF6B3E26"/>
        <bgColor rgb="FF6B3E26"/>
      </patternFill>
    </fill>
    <fill>
      <patternFill patternType="solid">
        <fgColor rgb="FF7A3E26"/>
        <bgColor rgb="FF7A3E26"/>
      </patternFill>
    </fill>
    <fill>
      <patternFill patternType="solid">
        <fgColor rgb="FF2D5A27"/>
        <bgColor rgb="FF2D5A27"/>
      </patternFill>
    </fill>
    <fill>
      <patternFill patternType="solid">
        <fgColor rgb="FF7A5210"/>
        <bgColor rgb="FF7A5210"/>
      </patternFill>
    </fill>
    <fill>
      <patternFill patternType="solid">
        <fgColor rgb="FF1B4D3E"/>
        <bgColor rgb="FF1B4D3E"/>
      </patternFill>
    </fill>
    <fill>
      <patternFill patternType="solid">
        <fgColor rgb="FFE6DFD5"/>
        <bgColor rgb="FFE6DFD5"/>
      </patternFill>
    </fill>
    <fill>
      <patternFill patternType="solid">
        <fgColor rgb="FF4A3525"/>
        <bgColor rgb="FF4A352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854D0E"/>
        <bgColor rgb="00854D0E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  <fill>
      <patternFill patternType="solid">
        <fgColor rgb="00FEF08A"/>
        <bgColor rgb="00FEF08A"/>
      </patternFill>
    </fill>
    <fill>
      <patternFill patternType="solid">
        <fgColor rgb="00475569"/>
        <bgColor rgb="00475569"/>
      </patternFill>
    </fill>
    <fill>
      <patternFill patternType="solid">
        <fgColor rgb="00FFEDD5"/>
        <bgColor rgb="00FFEDD5"/>
      </patternFill>
    </fill>
    <fill>
      <patternFill patternType="solid">
        <fgColor rgb="00E2E8F0"/>
        <bgColor rgb="00E2E8F0"/>
      </patternFill>
    </fill>
  </fills>
  <borders count="1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555555"/>
      </left>
      <right style="thin">
        <color rgb="FF555555"/>
      </right>
      <top style="medium">
        <color rgb="FF2C1810"/>
      </top>
      <bottom style="medium">
        <color rgb="FF2C18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2C1810"/>
      </top>
      <bottom style="double">
        <color rgb="FF2C18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2C1810"/>
      </top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26" borderId="6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7" applyAlignment="1">
      <alignment vertical="center"/>
    </xf>
    <xf numFmtId="0" fontId="30" fillId="0" borderId="7" applyAlignment="1">
      <alignment vertical="center"/>
    </xf>
    <xf numFmtId="0" fontId="31" fillId="0" borderId="8" applyAlignment="1">
      <alignment vertical="center"/>
    </xf>
    <xf numFmtId="0" fontId="31" fillId="0" borderId="0" applyAlignment="1">
      <alignment vertical="center"/>
    </xf>
    <xf numFmtId="0" fontId="32" fillId="27" borderId="9" applyAlignment="1">
      <alignment vertical="center"/>
    </xf>
    <xf numFmtId="0" fontId="33" fillId="28" borderId="10" applyAlignment="1">
      <alignment vertical="center"/>
    </xf>
    <xf numFmtId="0" fontId="34" fillId="28" borderId="9" applyAlignment="1">
      <alignment vertical="center"/>
    </xf>
    <xf numFmtId="0" fontId="35" fillId="29" borderId="11" applyAlignment="1">
      <alignment vertical="center"/>
    </xf>
    <xf numFmtId="0" fontId="36" fillId="0" borderId="12" applyAlignment="1">
      <alignment vertical="center"/>
    </xf>
    <xf numFmtId="0" fontId="37" fillId="0" borderId="13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40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  <xf numFmtId="0" fontId="41" fillId="37" borderId="0" applyAlignment="1">
      <alignment vertical="center"/>
    </xf>
    <xf numFmtId="0" fontId="42" fillId="38" borderId="0" applyAlignment="1">
      <alignment vertical="center"/>
    </xf>
    <xf numFmtId="0" fontId="42" fillId="39" borderId="0" applyAlignment="1">
      <alignment vertical="center"/>
    </xf>
    <xf numFmtId="0" fontId="41" fillId="40" borderId="0" applyAlignment="1">
      <alignment vertical="center"/>
    </xf>
    <xf numFmtId="0" fontId="41" fillId="41" borderId="0" applyAlignment="1">
      <alignment vertical="center"/>
    </xf>
    <xf numFmtId="0" fontId="42" fillId="42" borderId="0" applyAlignment="1">
      <alignment vertical="center"/>
    </xf>
    <xf numFmtId="0" fontId="42" fillId="43" borderId="0" applyAlignment="1">
      <alignment vertical="center"/>
    </xf>
    <xf numFmtId="0" fontId="41" fillId="44" borderId="0" applyAlignment="1">
      <alignment vertical="center"/>
    </xf>
    <xf numFmtId="0" fontId="41" fillId="45" borderId="0" applyAlignment="1">
      <alignment vertical="center"/>
    </xf>
    <xf numFmtId="0" fontId="42" fillId="46" borderId="0" applyAlignment="1">
      <alignment vertical="center"/>
    </xf>
    <xf numFmtId="0" fontId="42" fillId="47" borderId="0" applyAlignment="1">
      <alignment vertical="center"/>
    </xf>
    <xf numFmtId="0" fontId="41" fillId="48" borderId="0" applyAlignment="1">
      <alignment vertical="center"/>
    </xf>
    <xf numFmtId="0" fontId="41" fillId="49" borderId="0" applyAlignment="1">
      <alignment vertical="center"/>
    </xf>
    <xf numFmtId="0" fontId="42" fillId="50" borderId="0" applyAlignment="1">
      <alignment vertical="center"/>
    </xf>
    <xf numFmtId="0" fontId="42" fillId="51" borderId="0" applyAlignment="1">
      <alignment vertical="center"/>
    </xf>
    <xf numFmtId="0" fontId="41" fillId="52" borderId="0" applyAlignment="1">
      <alignment vertical="center"/>
    </xf>
    <xf numFmtId="0" fontId="41" fillId="53" borderId="0" applyAlignment="1">
      <alignment vertical="center"/>
    </xf>
    <xf numFmtId="0" fontId="42" fillId="54" borderId="0" applyAlignment="1">
      <alignment vertical="center"/>
    </xf>
    <xf numFmtId="0" fontId="42" fillId="55" borderId="0" applyAlignment="1">
      <alignment vertical="center"/>
    </xf>
    <xf numFmtId="0" fontId="41" fillId="56" borderId="0" applyAlignment="1">
      <alignment vertical="center"/>
    </xf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8" borderId="1" pivotButton="0" quotePrefix="0" xfId="0"/>
    <xf numFmtId="0" fontId="6" fillId="8" borderId="1" pivotButton="0" quotePrefix="0" xfId="0"/>
    <xf numFmtId="3" fontId="6" fillId="8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left" vertical="center"/>
    </xf>
    <xf numFmtId="0" fontId="13" fillId="12" borderId="3" applyAlignment="1" pivotButton="0" quotePrefix="0" xfId="0">
      <alignment horizontal="center" vertical="center"/>
    </xf>
    <xf numFmtId="0" fontId="14" fillId="12" borderId="3" applyAlignment="1" pivotButton="0" quotePrefix="0" xfId="0">
      <alignment horizontal="left" vertical="center"/>
    </xf>
    <xf numFmtId="0" fontId="15" fillId="12" borderId="3" applyAlignment="1" pivotButton="0" quotePrefix="0" xfId="0">
      <alignment horizontal="left" vertical="center"/>
    </xf>
    <xf numFmtId="0" fontId="15" fillId="12" borderId="3" applyAlignment="1" pivotButton="0" quotePrefix="0" xfId="0">
      <alignment horizontal="center" vertical="center"/>
    </xf>
    <xf numFmtId="164" fontId="15" fillId="12" borderId="3" applyAlignment="1" pivotButton="0" quotePrefix="0" xfId="0">
      <alignment horizontal="right" vertical="center"/>
    </xf>
    <xf numFmtId="3" fontId="15" fillId="12" borderId="3" applyAlignment="1" pivotButton="0" quotePrefix="0" xfId="0">
      <alignment horizontal="right" vertical="center"/>
    </xf>
    <xf numFmtId="3" fontId="14" fillId="12" borderId="3" applyAlignment="1" pivotButton="0" quotePrefix="0" xfId="0">
      <alignment horizontal="right" vertical="center"/>
    </xf>
    <xf numFmtId="3" fontId="16" fillId="13" borderId="3" applyAlignment="1" pivotButton="0" quotePrefix="0" xfId="0">
      <alignment horizontal="right" vertical="center"/>
    </xf>
    <xf numFmtId="164" fontId="14" fillId="12" borderId="3" applyAlignment="1" pivotButton="0" quotePrefix="0" xfId="0">
      <alignment horizontal="right" vertical="center"/>
    </xf>
    <xf numFmtId="0" fontId="13" fillId="14" borderId="3" applyAlignment="1" pivotButton="0" quotePrefix="0" xfId="0">
      <alignment horizontal="center" vertical="center"/>
    </xf>
    <xf numFmtId="0" fontId="14" fillId="14" borderId="3" applyAlignment="1" pivotButton="0" quotePrefix="0" xfId="0">
      <alignment horizontal="left" vertical="center"/>
    </xf>
    <xf numFmtId="0" fontId="15" fillId="14" borderId="3" applyAlignment="1" pivotButton="0" quotePrefix="0" xfId="0">
      <alignment horizontal="left" vertical="center"/>
    </xf>
    <xf numFmtId="0" fontId="15" fillId="14" borderId="3" applyAlignment="1" pivotButton="0" quotePrefix="0" xfId="0">
      <alignment horizontal="center" vertical="center"/>
    </xf>
    <xf numFmtId="164" fontId="15" fillId="14" borderId="3" applyAlignment="1" pivotButton="0" quotePrefix="0" xfId="0">
      <alignment horizontal="right" vertical="center"/>
    </xf>
    <xf numFmtId="3" fontId="15" fillId="14" borderId="3" applyAlignment="1" pivotButton="0" quotePrefix="0" xfId="0">
      <alignment horizontal="right" vertical="center"/>
    </xf>
    <xf numFmtId="3" fontId="14" fillId="14" borderId="3" applyAlignment="1" pivotButton="0" quotePrefix="0" xfId="0">
      <alignment horizontal="right" vertical="center"/>
    </xf>
    <xf numFmtId="164" fontId="14" fillId="14" borderId="3" applyAlignment="1" pivotButton="0" quotePrefix="0" xfId="0">
      <alignment horizontal="right" vertical="center"/>
    </xf>
    <xf numFmtId="3" fontId="17" fillId="15" borderId="3" applyAlignment="1" pivotButton="0" quotePrefix="0" xfId="0">
      <alignment horizontal="right" vertical="center"/>
    </xf>
    <xf numFmtId="3" fontId="18" fillId="16" borderId="3" applyAlignment="1" pivotButton="0" quotePrefix="0" xfId="0">
      <alignment horizontal="right" vertical="center"/>
    </xf>
    <xf numFmtId="0" fontId="19" fillId="17" borderId="4" applyAlignment="1" pivotButton="0" quotePrefix="0" xfId="0">
      <alignment horizontal="right" vertical="center"/>
    </xf>
    <xf numFmtId="0" fontId="0" fillId="0" borderId="4" pivotButton="0" quotePrefix="0" xfId="0"/>
    <xf numFmtId="3" fontId="17" fillId="17" borderId="4" applyAlignment="1" pivotButton="0" quotePrefix="0" xfId="0">
      <alignment horizontal="right" vertical="center"/>
    </xf>
    <xf numFmtId="164" fontId="16" fillId="17" borderId="4" applyAlignment="1" pivotButton="0" quotePrefix="0" xfId="0">
      <alignment horizontal="right" vertical="center"/>
    </xf>
    <xf numFmtId="0" fontId="12" fillId="18" borderId="0" applyAlignment="1" pivotButton="0" quotePrefix="0" xfId="0">
      <alignment horizontal="left" vertical="center"/>
    </xf>
    <xf numFmtId="0" fontId="12" fillId="19" borderId="0" applyAlignment="1" pivotButton="0" quotePrefix="0" xfId="0">
      <alignment horizontal="left" vertical="center"/>
    </xf>
    <xf numFmtId="0" fontId="12" fillId="20" borderId="0" applyAlignment="1" pivotButton="0" quotePrefix="0" xfId="0">
      <alignment horizontal="left" vertical="center"/>
    </xf>
    <xf numFmtId="0" fontId="12" fillId="21" borderId="0" applyAlignment="1" pivotButton="0" quotePrefix="0" xfId="0">
      <alignment horizontal="left" vertical="center"/>
    </xf>
    <xf numFmtId="0" fontId="12" fillId="22" borderId="0" applyAlignment="1" pivotButton="0" quotePrefix="0" xfId="0">
      <alignment horizontal="left" vertical="center"/>
    </xf>
    <xf numFmtId="0" fontId="12" fillId="23" borderId="0" applyAlignment="1" pivotButton="0" quotePrefix="0" xfId="0">
      <alignment horizontal="left" vertical="center"/>
    </xf>
    <xf numFmtId="0" fontId="20" fillId="24" borderId="5" applyAlignment="1" pivotButton="0" quotePrefix="0" xfId="0">
      <alignment horizontal="right" vertical="center"/>
    </xf>
    <xf numFmtId="0" fontId="0" fillId="0" borderId="5" pivotButton="0" quotePrefix="0" xfId="0"/>
    <xf numFmtId="3" fontId="21" fillId="24" borderId="5" applyAlignment="1" pivotButton="0" quotePrefix="0" xfId="0">
      <alignment horizontal="right" vertical="center"/>
    </xf>
    <xf numFmtId="164" fontId="22" fillId="24" borderId="5" applyAlignment="1" pivotButton="0" quotePrefix="0" xfId="0">
      <alignment horizontal="right" vertical="center"/>
    </xf>
    <xf numFmtId="0" fontId="12" fillId="25" borderId="0" applyAlignment="1" pivotButton="0" quotePrefix="0" xfId="0">
      <alignment horizontal="left" vertical="center"/>
    </xf>
    <xf numFmtId="3" fontId="23" fillId="12" borderId="3" applyAlignment="1" pivotButton="0" quotePrefix="0" xfId="0">
      <alignment horizontal="right" vertical="center"/>
    </xf>
    <xf numFmtId="3" fontId="23" fillId="14" borderId="3" applyAlignment="1" pivotButton="0" quotePrefix="0" xfId="0">
      <alignment horizontal="right" vertical="center"/>
    </xf>
    <xf numFmtId="0" fontId="12" fillId="9" borderId="0" applyAlignment="1" pivotButton="0" quotePrefix="0" xfId="0">
      <alignment horizontal="left" vertical="center"/>
    </xf>
    <xf numFmtId="4" fontId="14" fillId="14" borderId="3" applyAlignment="1" pivotButton="0" quotePrefix="0" xfId="0">
      <alignment horizontal="right" vertical="center"/>
    </xf>
    <xf numFmtId="4" fontId="14" fillId="12" borderId="3" applyAlignment="1" pivotButton="0" quotePrefix="0" xfId="0">
      <alignment horizontal="right" vertical="center"/>
    </xf>
    <xf numFmtId="2" fontId="23" fillId="14" borderId="3" applyAlignment="1" pivotButton="0" quotePrefix="0" xfId="0">
      <alignment horizontal="right" vertical="center"/>
    </xf>
    <xf numFmtId="2" fontId="23" fillId="12" borderId="3" applyAlignment="1" pivotButton="0" quotePrefix="0" xfId="0">
      <alignment horizontal="right" vertical="center"/>
    </xf>
    <xf numFmtId="164" fontId="15" fillId="12" borderId="3" applyAlignment="1" pivotButton="0" quotePrefix="0" xfId="0">
      <alignment horizontal="right" vertical="center"/>
    </xf>
    <xf numFmtId="164" fontId="15" fillId="14" borderId="3" applyAlignment="1" pivotButton="0" quotePrefix="0" xfId="0">
      <alignment horizontal="right" vertical="center"/>
    </xf>
    <xf numFmtId="164" fontId="14" fillId="12" borderId="3" applyAlignment="1" pivotButton="0" quotePrefix="0" xfId="0">
      <alignment horizontal="right" vertical="center"/>
    </xf>
    <xf numFmtId="164" fontId="14" fillId="14" borderId="3" applyAlignment="1" pivotButton="0" quotePrefix="0" xfId="0">
      <alignment horizontal="right" vertical="center"/>
    </xf>
    <xf numFmtId="164" fontId="16" fillId="17" borderId="4" applyAlignment="1" pivotButton="0" quotePrefix="0" xfId="0">
      <alignment horizontal="right" vertical="center"/>
    </xf>
    <xf numFmtId="164" fontId="22" fillId="24" borderId="5" applyAlignment="1" pivotButton="0" quotePrefix="0" xfId="0">
      <alignment horizontal="right" vertical="center"/>
    </xf>
    <xf numFmtId="0" fontId="43" fillId="57" borderId="0" applyAlignment="1" pivotButton="0" quotePrefix="0" xfId="0">
      <alignment horizontal="center" vertical="center"/>
    </xf>
    <xf numFmtId="0" fontId="44" fillId="57" borderId="0" applyAlignment="1" pivotButton="0" quotePrefix="0" xfId="0">
      <alignment horizontal="center" vertical="center"/>
    </xf>
    <xf numFmtId="0" fontId="45" fillId="58" borderId="16" applyAlignment="1" pivotButton="0" quotePrefix="0" xfId="0">
      <alignment horizontal="center" vertical="center" wrapText="1"/>
    </xf>
    <xf numFmtId="0" fontId="0" fillId="0" borderId="16" pivotButton="0" quotePrefix="0" xfId="0"/>
    <xf numFmtId="0" fontId="46" fillId="0" borderId="0" pivotButton="0" quotePrefix="0" xfId="0"/>
    <xf numFmtId="0" fontId="47" fillId="59" borderId="16" applyAlignment="1" pivotButton="0" quotePrefix="0" xfId="0">
      <alignment horizontal="center" vertical="center"/>
    </xf>
    <xf numFmtId="0" fontId="50" fillId="0" borderId="16" applyAlignment="1" pivotButton="0" quotePrefix="0" xfId="0">
      <alignment horizontal="center" vertical="center"/>
    </xf>
    <xf numFmtId="0" fontId="50" fillId="0" borderId="16" applyAlignment="1" pivotButton="0" quotePrefix="0" xfId="0">
      <alignment horizontal="left" vertical="center"/>
    </xf>
    <xf numFmtId="3" fontId="50" fillId="0" borderId="16" applyAlignment="1" pivotButton="0" quotePrefix="0" xfId="0">
      <alignment horizontal="right" vertical="center"/>
    </xf>
    <xf numFmtId="165" fontId="50" fillId="0" borderId="16" applyAlignment="1" pivotButton="0" quotePrefix="0" xfId="0">
      <alignment horizontal="right" vertical="center"/>
    </xf>
    <xf numFmtId="165" fontId="48" fillId="0" borderId="16" applyAlignment="1" pivotButton="0" quotePrefix="0" xfId="0">
      <alignment horizontal="right" vertical="center"/>
    </xf>
    <xf numFmtId="0" fontId="49" fillId="60" borderId="16" applyAlignment="1" pivotButton="0" quotePrefix="0" xfId="0">
      <alignment horizontal="center" vertical="center"/>
    </xf>
    <xf numFmtId="0" fontId="50" fillId="58" borderId="16" applyAlignment="1" pivotButton="0" quotePrefix="0" xfId="0">
      <alignment horizontal="center" vertical="center"/>
    </xf>
    <xf numFmtId="0" fontId="50" fillId="58" borderId="16" applyAlignment="1" pivotButton="0" quotePrefix="0" xfId="0">
      <alignment horizontal="left" vertical="center"/>
    </xf>
    <xf numFmtId="3" fontId="50" fillId="58" borderId="16" applyAlignment="1" pivotButton="0" quotePrefix="0" xfId="0">
      <alignment horizontal="right" vertical="center"/>
    </xf>
    <xf numFmtId="165" fontId="50" fillId="58" borderId="16" applyAlignment="1" pivotButton="0" quotePrefix="0" xfId="0">
      <alignment horizontal="right" vertical="center"/>
    </xf>
    <xf numFmtId="165" fontId="48" fillId="58" borderId="16" applyAlignment="1" pivotButton="0" quotePrefix="0" xfId="0">
      <alignment horizontal="right" vertical="center"/>
    </xf>
    <xf numFmtId="0" fontId="51" fillId="61" borderId="16" applyAlignment="1" pivotButton="0" quotePrefix="0" xfId="0">
      <alignment horizontal="center" vertical="center"/>
    </xf>
    <xf numFmtId="0" fontId="52" fillId="62" borderId="16" applyAlignment="1" pivotButton="0" quotePrefix="0" xfId="0">
      <alignment horizontal="center" vertical="center"/>
    </xf>
    <xf numFmtId="0" fontId="0" fillId="63" borderId="16" pivotButton="0" quotePrefix="0" xfId="0"/>
    <xf numFmtId="0" fontId="48" fillId="63" borderId="16" pivotButton="0" quotePrefix="0" xfId="0"/>
    <xf numFmtId="3" fontId="48" fillId="63" borderId="16" applyAlignment="1" pivotButton="0" quotePrefix="0" xfId="0">
      <alignment horizontal="right" vertical="center"/>
    </xf>
    <xf numFmtId="165" fontId="48" fillId="63" borderId="16" applyAlignment="1" pivotButton="0" quotePrefix="0" xfId="0">
      <alignment horizontal="right" vertical="center"/>
    </xf>
    <xf numFmtId="0" fontId="47" fillId="64" borderId="16" applyAlignment="1" pivotButton="0" quotePrefix="0" xfId="0">
      <alignment horizontal="center" vertical="center"/>
    </xf>
    <xf numFmtId="0" fontId="53" fillId="65" borderId="16" applyAlignment="1" pivotButton="0" quotePrefix="0" xfId="0">
      <alignment horizontal="center" vertical="center"/>
    </xf>
    <xf numFmtId="0" fontId="48" fillId="58" borderId="16" applyAlignment="1" pivotButton="0" quotePrefix="0" xfId="0">
      <alignment horizontal="center" vertical="center"/>
    </xf>
    <xf numFmtId="0" fontId="0" fillId="66" borderId="16" pivotButton="0" quotePrefix="0" xfId="0"/>
    <xf numFmtId="0" fontId="48" fillId="66" borderId="16" pivotButton="0" quotePrefix="0" xfId="0"/>
    <xf numFmtId="3" fontId="48" fillId="66" borderId="16" applyAlignment="1" pivotButton="0" quotePrefix="0" xfId="0">
      <alignment horizontal="right" vertical="center"/>
    </xf>
    <xf numFmtId="165" fontId="48" fillId="66" borderId="16" applyAlignment="1" pivotButton="0" quotePrefix="0" xfId="0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zoomScale="50" zoomScaleNormal="50" workbookViewId="0">
      <pane ySplit="3" topLeftCell="A44" activePane="bottomLeft" state="frozen"/>
      <selection activeCell="A1" sqref="A1"/>
      <selection pane="bottomLeft" activeCell="I50" sqref="I50"/>
    </sheetView>
  </sheetViews>
  <sheetFormatPr baseColWidth="8" defaultColWidth="9" defaultRowHeight="14.5"/>
  <cols>
    <col width="11" customWidth="1" min="1" max="1"/>
    <col width="34" customWidth="1" min="2" max="2"/>
    <col width="11" customWidth="1" min="3" max="3"/>
    <col width="13" customWidth="1" min="4" max="4"/>
    <col width="15" customWidth="1" min="5" max="5"/>
    <col width="16" customWidth="1" min="6" max="6"/>
    <col width="15" customWidth="1" min="7" max="7"/>
    <col width="17" customWidth="1" min="8" max="9"/>
  </cols>
  <sheetData>
    <row r="1" ht="36" customHeight="1">
      <c r="A1" s="23" t="inlineStr">
        <is>
          <t>ESPRESSO YOURSELF &amp; TEA HOUSE — COMPREHENSIVE INVENTORY RECONCILIATION</t>
        </is>
      </c>
    </row>
    <row r="2" ht="15.25" customHeight="1"/>
    <row r="3" ht="32" customHeight="1">
      <c r="A3" s="25" t="inlineStr">
        <is>
          <t>SKU / Code</t>
        </is>
      </c>
      <c r="B3" s="25" t="inlineStr">
        <is>
          <t>Item Description &amp; Specifications</t>
        </is>
      </c>
      <c r="C3" s="25" t="inlineStr">
        <is>
          <t>UOM</t>
        </is>
      </c>
      <c r="D3" s="25" t="inlineStr">
        <is>
          <t>Unit Cost (₱)</t>
        </is>
      </c>
      <c r="E3" s="25" t="inlineStr">
        <is>
          <t>Beginning Stock
(Aug 8)</t>
        </is>
      </c>
      <c r="F3" s="25" t="inlineStr">
        <is>
          <t>Additional Stock
(Aug 13 - Sept 3)</t>
        </is>
      </c>
      <c r="G3" s="25" t="inlineStr">
        <is>
          <t>Total Available
Stock</t>
        </is>
      </c>
      <c r="H3" s="25" t="inlineStr">
        <is>
          <t>Sales</t>
        </is>
      </c>
      <c r="I3" s="25" t="inlineStr">
        <is>
          <t>Current</t>
        </is>
      </c>
    </row>
    <row r="4" ht="24" customHeight="1">
      <c r="A4" s="60" t="inlineStr">
        <is>
          <t>📦  1. CUPS &amp; PACKAGING CONSUMABLES</t>
        </is>
      </c>
    </row>
    <row r="5" ht="22" customHeight="1">
      <c r="A5" s="27" t="inlineStr">
        <is>
          <t>PKG-001</t>
        </is>
      </c>
      <c r="B5" s="28" t="inlineStr">
        <is>
          <t>Plastic Cup 16oz (Cold PET)</t>
        </is>
      </c>
      <c r="C5" s="30" t="inlineStr">
        <is>
          <t>pcs</t>
        </is>
      </c>
      <c r="D5" s="68" t="n">
        <v>2.8</v>
      </c>
      <c r="E5" s="32" t="n">
        <v>300</v>
      </c>
      <c r="F5" s="32" t="n">
        <v>500</v>
      </c>
      <c r="G5" s="33">
        <f>E5+F5</f>
        <v/>
      </c>
      <c r="H5" s="61">
        <f>G5-I5</f>
        <v/>
      </c>
      <c r="I5" s="61" t="n">
        <v>709</v>
      </c>
    </row>
    <row r="6" ht="22" customHeight="1">
      <c r="A6" s="36" t="inlineStr">
        <is>
          <t>PKG-002</t>
        </is>
      </c>
      <c r="B6" s="37" t="inlineStr">
        <is>
          <t>Paper Cup 16oz (Hot Large)</t>
        </is>
      </c>
      <c r="C6" s="39" t="inlineStr">
        <is>
          <t>pcs</t>
        </is>
      </c>
      <c r="D6" s="69" t="n">
        <v>2.8</v>
      </c>
      <c r="E6" s="41" t="n">
        <v>300</v>
      </c>
      <c r="F6" s="41" t="n">
        <v>400</v>
      </c>
      <c r="G6" s="42">
        <f>E6+F6</f>
        <v/>
      </c>
      <c r="H6" s="61">
        <f>G6-I6</f>
        <v/>
      </c>
      <c r="I6" s="62" t="n">
        <v>626</v>
      </c>
    </row>
    <row r="7" ht="22" customHeight="1">
      <c r="A7" s="27" t="inlineStr">
        <is>
          <t>PKG-003</t>
        </is>
      </c>
      <c r="B7" s="28" t="inlineStr">
        <is>
          <t>Paper Cup 8oz (Hot Small)</t>
        </is>
      </c>
      <c r="C7" s="30" t="inlineStr">
        <is>
          <t>pcs</t>
        </is>
      </c>
      <c r="D7" s="68" t="n">
        <v>2.4</v>
      </c>
      <c r="E7" s="32" t="n">
        <v>250</v>
      </c>
      <c r="F7" s="32" t="n">
        <v>750</v>
      </c>
      <c r="G7" s="33">
        <f>E7+F7</f>
        <v/>
      </c>
      <c r="H7" s="61">
        <f>G7-I7</f>
        <v/>
      </c>
      <c r="I7" s="61" t="n">
        <v>925</v>
      </c>
    </row>
    <row r="8" ht="24" customHeight="1">
      <c r="A8" s="63" t="inlineStr">
        <is>
          <t>☕  2. COFFEE BEANS &amp; SPECIALTY ROASTS</t>
        </is>
      </c>
    </row>
    <row r="9" ht="22" customHeight="1">
      <c r="A9" s="36" t="inlineStr">
        <is>
          <t>ING-001</t>
        </is>
      </c>
      <c r="B9" s="37" t="inlineStr">
        <is>
          <t>Concept Blend 1 (Espresso Beans)</t>
        </is>
      </c>
      <c r="C9" s="39" t="inlineStr">
        <is>
          <t>pack (1kg)</t>
        </is>
      </c>
      <c r="D9" s="69" t="n">
        <v>980</v>
      </c>
      <c r="E9" s="41" t="n">
        <v>10</v>
      </c>
      <c r="F9" s="41" t="n">
        <v>0</v>
      </c>
      <c r="G9" s="64">
        <f>E9+F9</f>
        <v/>
      </c>
      <c r="H9" s="62">
        <f>G9-I9</f>
        <v/>
      </c>
      <c r="I9" s="62" t="n">
        <v>3</v>
      </c>
    </row>
    <row r="10" ht="22" customHeight="1">
      <c r="A10" s="27" t="inlineStr">
        <is>
          <t>ING-002</t>
        </is>
      </c>
      <c r="B10" s="28" t="inlineStr">
        <is>
          <t>Australia's Own / Artisanal Roast</t>
        </is>
      </c>
      <c r="C10" s="30" t="inlineStr">
        <is>
          <t>pack (1kg)</t>
        </is>
      </c>
      <c r="D10" s="68" t="n">
        <v>204</v>
      </c>
      <c r="E10" s="32" t="n">
        <v>0</v>
      </c>
      <c r="F10" s="32" t="n">
        <v>1</v>
      </c>
      <c r="G10" s="65">
        <f>E10+F10</f>
        <v/>
      </c>
      <c r="H10" s="62">
        <f>G10-I10</f>
        <v/>
      </c>
      <c r="I10" s="61" t="n">
        <v>1</v>
      </c>
    </row>
    <row r="11" ht="24" customHeight="1">
      <c r="A11" s="51" t="inlineStr">
        <is>
          <t>🍯  3. TORANI FLAVOR SYRUPS &amp; PURÉES</t>
        </is>
      </c>
    </row>
    <row r="12" ht="22" customHeight="1">
      <c r="A12" s="36" t="inlineStr">
        <is>
          <t>TOR-001</t>
        </is>
      </c>
      <c r="B12" s="37" t="inlineStr">
        <is>
          <t>Torani Irish Cream Syrup 750ml</t>
        </is>
      </c>
      <c r="C12" s="39" t="inlineStr">
        <is>
          <t>bottle</t>
        </is>
      </c>
      <c r="D12" s="69" t="n">
        <v>550</v>
      </c>
      <c r="E12" s="41" t="n">
        <v>0</v>
      </c>
      <c r="F12" s="41" t="n">
        <v>1</v>
      </c>
      <c r="G12" s="64">
        <f>E12+F12</f>
        <v/>
      </c>
      <c r="H12" s="62">
        <f>G12-I12</f>
        <v/>
      </c>
      <c r="I12" s="62" t="n">
        <v>1</v>
      </c>
    </row>
    <row r="13" ht="22" customHeight="1">
      <c r="A13" s="27" t="inlineStr">
        <is>
          <t>TOR-002</t>
        </is>
      </c>
      <c r="B13" s="28" t="inlineStr">
        <is>
          <t>Torani Salted Caramel Syrup 750ml</t>
        </is>
      </c>
      <c r="C13" s="30" t="inlineStr">
        <is>
          <t>bottle</t>
        </is>
      </c>
      <c r="D13" s="68" t="n">
        <v>550</v>
      </c>
      <c r="E13" s="32" t="n">
        <v>0</v>
      </c>
      <c r="F13" s="32" t="n">
        <v>1</v>
      </c>
      <c r="G13" s="65">
        <f>E13+F13</f>
        <v/>
      </c>
      <c r="H13" s="62">
        <f>G13-I13</f>
        <v/>
      </c>
      <c r="I13" s="61" t="n">
        <v>1</v>
      </c>
    </row>
    <row r="14" ht="22" customHeight="1">
      <c r="A14" s="36" t="inlineStr">
        <is>
          <t>TOR-003</t>
        </is>
      </c>
      <c r="B14" s="37" t="inlineStr">
        <is>
          <t>Torani White Chocolate Syrup 750ml</t>
        </is>
      </c>
      <c r="C14" s="39" t="inlineStr">
        <is>
          <t>bottle</t>
        </is>
      </c>
      <c r="D14" s="69" t="n">
        <v>550</v>
      </c>
      <c r="E14" s="41" t="n">
        <v>0</v>
      </c>
      <c r="F14" s="41" t="n">
        <v>1</v>
      </c>
      <c r="G14" s="64">
        <f>E14+F14</f>
        <v/>
      </c>
      <c r="H14" s="62">
        <f>G14-I14</f>
        <v/>
      </c>
      <c r="I14" s="62" t="n">
        <v>1</v>
      </c>
    </row>
    <row r="15" ht="22" customHeight="1">
      <c r="A15" s="27" t="inlineStr">
        <is>
          <t>TOR-004</t>
        </is>
      </c>
      <c r="B15" s="28" t="inlineStr">
        <is>
          <t>Torani French Vanilla Syrup 750ml</t>
        </is>
      </c>
      <c r="C15" s="30" t="inlineStr">
        <is>
          <t>bottle</t>
        </is>
      </c>
      <c r="D15" s="68" t="n">
        <v>550</v>
      </c>
      <c r="E15" s="32" t="n">
        <v>0</v>
      </c>
      <c r="F15" s="32" t="n">
        <v>1</v>
      </c>
      <c r="G15" s="65">
        <f>E15+F15</f>
        <v/>
      </c>
      <c r="H15" s="62">
        <f>G15-I15</f>
        <v/>
      </c>
      <c r="I15" s="61" t="n">
        <v>1</v>
      </c>
    </row>
    <row r="16" ht="22" customHeight="1">
      <c r="A16" s="36" t="inlineStr">
        <is>
          <t>TOR-005</t>
        </is>
      </c>
      <c r="B16" s="37" t="inlineStr">
        <is>
          <t>Torani Macadamia Nut Syrup 750ml</t>
        </is>
      </c>
      <c r="C16" s="39" t="inlineStr">
        <is>
          <t>bottle</t>
        </is>
      </c>
      <c r="D16" s="69" t="n">
        <v>550</v>
      </c>
      <c r="E16" s="41" t="n">
        <v>0</v>
      </c>
      <c r="F16" s="41" t="n">
        <v>1</v>
      </c>
      <c r="G16" s="64">
        <f>E16+F16</f>
        <v/>
      </c>
      <c r="H16" s="62">
        <f>G16-I16</f>
        <v/>
      </c>
      <c r="I16" s="62" t="n">
        <v>1</v>
      </c>
    </row>
    <row r="17" ht="22" customHeight="1">
      <c r="A17" s="27" t="inlineStr">
        <is>
          <t>TOR-006</t>
        </is>
      </c>
      <c r="B17" s="28" t="inlineStr">
        <is>
          <t>Torani Hazelnut Syrup 750ml</t>
        </is>
      </c>
      <c r="C17" s="30" t="inlineStr">
        <is>
          <t>bottle</t>
        </is>
      </c>
      <c r="D17" s="68" t="n">
        <v>550</v>
      </c>
      <c r="E17" s="32" t="n">
        <v>0</v>
      </c>
      <c r="F17" s="32" t="n">
        <v>1</v>
      </c>
      <c r="G17" s="65">
        <f>E17+F17</f>
        <v/>
      </c>
      <c r="H17" s="62">
        <f>G17-I17</f>
        <v/>
      </c>
      <c r="I17" s="61" t="n">
        <v>1</v>
      </c>
    </row>
    <row r="18" ht="22" customHeight="1">
      <c r="A18" s="36" t="inlineStr">
        <is>
          <t>TOR-007</t>
        </is>
      </c>
      <c r="B18" s="37" t="inlineStr">
        <is>
          <t>Torani Butterscotch Syrup 750ml</t>
        </is>
      </c>
      <c r="C18" s="39" t="inlineStr">
        <is>
          <t>bottle</t>
        </is>
      </c>
      <c r="D18" s="69" t="n">
        <v>550</v>
      </c>
      <c r="E18" s="41" t="n">
        <v>0</v>
      </c>
      <c r="F18" s="41" t="n">
        <v>1</v>
      </c>
      <c r="G18" s="64">
        <f>E18+F18</f>
        <v/>
      </c>
      <c r="H18" s="62">
        <f>G18-I18</f>
        <v/>
      </c>
      <c r="I18" s="62" t="n">
        <v>1</v>
      </c>
    </row>
    <row r="19" ht="22" customHeight="1">
      <c r="A19" s="27" t="inlineStr">
        <is>
          <t>TOR-008</t>
        </is>
      </c>
      <c r="B19" s="28" t="inlineStr">
        <is>
          <t>Torani Pomegranate Syrup 750ml</t>
        </is>
      </c>
      <c r="C19" s="30" t="inlineStr">
        <is>
          <t>bottle</t>
        </is>
      </c>
      <c r="D19" s="68" t="n">
        <v>550</v>
      </c>
      <c r="E19" s="32" t="n">
        <v>0</v>
      </c>
      <c r="F19" s="32" t="n">
        <v>1</v>
      </c>
      <c r="G19" s="65">
        <f>E19+F19</f>
        <v/>
      </c>
      <c r="H19" s="62">
        <f>G19-I19</f>
        <v/>
      </c>
      <c r="I19" s="61" t="n">
        <v>1</v>
      </c>
    </row>
    <row r="20" ht="22" customHeight="1">
      <c r="A20" s="36" t="inlineStr">
        <is>
          <t>TOR-009</t>
        </is>
      </c>
      <c r="B20" s="37" t="inlineStr">
        <is>
          <t>Torani Lychee Syrup 750ml</t>
        </is>
      </c>
      <c r="C20" s="39" t="inlineStr">
        <is>
          <t>bottle</t>
        </is>
      </c>
      <c r="D20" s="69" t="n">
        <v>550</v>
      </c>
      <c r="E20" s="41" t="n">
        <v>0</v>
      </c>
      <c r="F20" s="41" t="n">
        <v>1</v>
      </c>
      <c r="G20" s="64">
        <f>E20+F20</f>
        <v/>
      </c>
      <c r="H20" s="62">
        <f>G20-I20</f>
        <v/>
      </c>
      <c r="I20" s="62" t="n">
        <v>1</v>
      </c>
    </row>
    <row r="21" ht="22" customHeight="1">
      <c r="A21" s="27" t="inlineStr">
        <is>
          <t>TOR-010</t>
        </is>
      </c>
      <c r="B21" s="28" t="inlineStr">
        <is>
          <t>Torani Caramel Sauce / Syrup (Gallon)</t>
        </is>
      </c>
      <c r="C21" s="30" t="inlineStr">
        <is>
          <t>gallon</t>
        </is>
      </c>
      <c r="D21" s="68" t="n">
        <v>950</v>
      </c>
      <c r="E21" s="32" t="n">
        <v>0</v>
      </c>
      <c r="F21" s="32" t="n">
        <v>1</v>
      </c>
      <c r="G21" s="65">
        <f>E21+F21</f>
        <v/>
      </c>
      <c r="H21" s="62">
        <f>G21-I21</f>
        <v/>
      </c>
      <c r="I21" s="61" t="n">
        <v>1</v>
      </c>
    </row>
    <row r="22" ht="22" customHeight="1">
      <c r="A22" s="36" t="inlineStr">
        <is>
          <t>TOR-011</t>
        </is>
      </c>
      <c r="B22" s="37" t="inlineStr">
        <is>
          <t>Torani Mango Purée Blend 1.89L</t>
        </is>
      </c>
      <c r="C22" s="39" t="inlineStr">
        <is>
          <t>gallon</t>
        </is>
      </c>
      <c r="D22" s="69" t="n">
        <v>950</v>
      </c>
      <c r="E22" s="41" t="n">
        <v>0</v>
      </c>
      <c r="F22" s="41" t="n">
        <v>1</v>
      </c>
      <c r="G22" s="64">
        <f>E22+F22</f>
        <v/>
      </c>
      <c r="H22" s="62">
        <f>G22-I22</f>
        <v/>
      </c>
      <c r="I22" s="62" t="n">
        <v>1</v>
      </c>
    </row>
    <row r="23" ht="22" customHeight="1">
      <c r="A23" s="27" t="inlineStr">
        <is>
          <t>TOR-012</t>
        </is>
      </c>
      <c r="B23" s="28" t="inlineStr">
        <is>
          <t>Torani Strawberry Purée Blend 1.89L</t>
        </is>
      </c>
      <c r="C23" s="30" t="inlineStr">
        <is>
          <t>gallon</t>
        </is>
      </c>
      <c r="D23" s="68" t="n">
        <v>950</v>
      </c>
      <c r="E23" s="32" t="n">
        <v>0</v>
      </c>
      <c r="F23" s="32" t="n">
        <v>1</v>
      </c>
      <c r="G23" s="65">
        <f>E23+F23</f>
        <v/>
      </c>
      <c r="H23" s="62">
        <f>G23-I23</f>
        <v/>
      </c>
      <c r="I23" s="61" t="n">
        <v>1</v>
      </c>
    </row>
    <row r="24" ht="24" customHeight="1">
      <c r="A24" s="50" t="inlineStr">
        <is>
          <t>✨  4. SHOTT NEW ZEALAND PREMIUM SYRUPS</t>
        </is>
      </c>
    </row>
    <row r="25" ht="22" customHeight="1">
      <c r="A25" s="36" t="inlineStr">
        <is>
          <t>SHT-001</t>
        </is>
      </c>
      <c r="B25" s="37" t="inlineStr">
        <is>
          <t>SHOTT Pink Guava Syrup 1L</t>
        </is>
      </c>
      <c r="C25" s="39" t="inlineStr">
        <is>
          <t>bottle (1L)</t>
        </is>
      </c>
      <c r="D25" s="69" t="n">
        <v>890</v>
      </c>
      <c r="E25" s="41" t="n">
        <v>1</v>
      </c>
      <c r="F25" s="41" t="n">
        <v>0</v>
      </c>
      <c r="G25" s="64">
        <f>E25+F25</f>
        <v/>
      </c>
      <c r="H25" s="62">
        <f>G25-I25</f>
        <v/>
      </c>
      <c r="I25" s="62" t="n">
        <v>0</v>
      </c>
    </row>
    <row r="26" ht="22" customHeight="1">
      <c r="A26" s="27" t="inlineStr">
        <is>
          <t>SHT-002</t>
        </is>
      </c>
      <c r="B26" s="28" t="inlineStr">
        <is>
          <t>SHOTT Irish Cream Syrup 1L</t>
        </is>
      </c>
      <c r="C26" s="30" t="inlineStr">
        <is>
          <t>bottle (1L)</t>
        </is>
      </c>
      <c r="D26" s="68" t="n">
        <v>690</v>
      </c>
      <c r="E26" s="32" t="n">
        <v>1</v>
      </c>
      <c r="F26" s="32" t="n">
        <v>0</v>
      </c>
      <c r="G26" s="65">
        <f>E26+F26</f>
        <v/>
      </c>
      <c r="H26" s="62">
        <f>G26-I26</f>
        <v/>
      </c>
      <c r="I26" s="61" t="n">
        <v>1</v>
      </c>
    </row>
    <row r="27" ht="22" customHeight="1">
      <c r="A27" s="36" t="inlineStr">
        <is>
          <t>SHT-003</t>
        </is>
      </c>
      <c r="B27" s="37" t="inlineStr">
        <is>
          <t>SHOTT Mango Syrup 1L</t>
        </is>
      </c>
      <c r="C27" s="39" t="inlineStr">
        <is>
          <t>bottle (1L)</t>
        </is>
      </c>
      <c r="D27" s="69" t="n">
        <v>890</v>
      </c>
      <c r="E27" s="41" t="n">
        <v>1</v>
      </c>
      <c r="F27" s="41" t="n">
        <v>0</v>
      </c>
      <c r="G27" s="64">
        <f>E27+F27</f>
        <v/>
      </c>
      <c r="H27" s="62">
        <f>G27-I27</f>
        <v/>
      </c>
      <c r="I27" s="66" t="n">
        <v>0.21</v>
      </c>
    </row>
    <row r="28" ht="22" customHeight="1">
      <c r="A28" s="27" t="inlineStr">
        <is>
          <t>SHT-004</t>
        </is>
      </c>
      <c r="B28" s="28" t="inlineStr">
        <is>
          <t>SHOTT Macadamia Syrup 1L</t>
        </is>
      </c>
      <c r="C28" s="30" t="inlineStr">
        <is>
          <t>bottle (1L)</t>
        </is>
      </c>
      <c r="D28" s="68" t="n">
        <v>690</v>
      </c>
      <c r="E28" s="32" t="n">
        <v>1</v>
      </c>
      <c r="F28" s="32" t="n">
        <v>0</v>
      </c>
      <c r="G28" s="65">
        <f>E28+F28</f>
        <v/>
      </c>
      <c r="H28" s="62">
        <f>G28-I28</f>
        <v/>
      </c>
      <c r="I28" s="67" t="n">
        <v>0.9</v>
      </c>
    </row>
    <row r="29" ht="22" customHeight="1">
      <c r="A29" s="36" t="inlineStr">
        <is>
          <t>SHT-005</t>
        </is>
      </c>
      <c r="B29" s="37" t="inlineStr">
        <is>
          <t>SHOTT Vanilla Syrup 1L</t>
        </is>
      </c>
      <c r="C29" s="39" t="inlineStr">
        <is>
          <t>bottle (1L)</t>
        </is>
      </c>
      <c r="D29" s="69" t="n">
        <v>690</v>
      </c>
      <c r="E29" s="41" t="n">
        <v>1</v>
      </c>
      <c r="F29" s="41" t="n">
        <v>0</v>
      </c>
      <c r="G29" s="64">
        <f>E29+F29</f>
        <v/>
      </c>
      <c r="H29" s="62">
        <f>G29-I29</f>
        <v/>
      </c>
      <c r="I29" s="62" t="n">
        <v>1</v>
      </c>
    </row>
    <row r="30" ht="22" customHeight="1">
      <c r="A30" s="27" t="inlineStr">
        <is>
          <t>SHT-006</t>
        </is>
      </c>
      <c r="B30" s="28" t="inlineStr">
        <is>
          <t>SHOTT Lychee Syrup 1L</t>
        </is>
      </c>
      <c r="C30" s="30" t="inlineStr">
        <is>
          <t>bottle (1L)</t>
        </is>
      </c>
      <c r="D30" s="68" t="n">
        <v>690</v>
      </c>
      <c r="E30" s="32" t="n">
        <v>1</v>
      </c>
      <c r="F30" s="32" t="n">
        <v>0</v>
      </c>
      <c r="G30" s="65">
        <f>E30+F30</f>
        <v/>
      </c>
      <c r="H30" s="62">
        <f>G30-I30</f>
        <v/>
      </c>
      <c r="I30" s="67" t="n">
        <v>0.9</v>
      </c>
    </row>
    <row r="31" ht="22" customHeight="1">
      <c r="A31" s="36" t="inlineStr">
        <is>
          <t>SHT-007</t>
        </is>
      </c>
      <c r="B31" s="37" t="inlineStr">
        <is>
          <t>SHOTT Pomegranate Syrup 1L</t>
        </is>
      </c>
      <c r="C31" s="39" t="inlineStr">
        <is>
          <t>bottle (1L)</t>
        </is>
      </c>
      <c r="D31" s="69" t="n">
        <v>890</v>
      </c>
      <c r="E31" s="41" t="n">
        <v>1</v>
      </c>
      <c r="F31" s="41" t="n">
        <v>0</v>
      </c>
      <c r="G31" s="64">
        <f>E31+F31</f>
        <v/>
      </c>
      <c r="H31" s="62">
        <f>G31-I31</f>
        <v/>
      </c>
      <c r="I31" s="66" t="n">
        <v>0.25</v>
      </c>
    </row>
    <row r="32" ht="24" customHeight="1">
      <c r="A32" s="54" t="inlineStr">
        <is>
          <t>🧈  5. CONDIMENTS, SPREADS &amp; MIXES</t>
        </is>
      </c>
    </row>
    <row r="33" ht="22" customHeight="1">
      <c r="A33" s="27" t="inlineStr">
        <is>
          <t>MIX-001</t>
        </is>
      </c>
      <c r="B33" s="28" t="inlineStr">
        <is>
          <t>Biscoff Sauce Mix (In-House Prep)</t>
        </is>
      </c>
      <c r="C33" s="30" t="inlineStr">
        <is>
          <t>grams</t>
        </is>
      </c>
      <c r="D33" s="68" t="n">
        <v>0.86</v>
      </c>
      <c r="E33" s="32" t="n">
        <v>0</v>
      </c>
      <c r="F33" s="32" t="n">
        <v>250</v>
      </c>
      <c r="G33" s="65">
        <f>E33+F33</f>
        <v/>
      </c>
      <c r="H33" s="61">
        <f>G33-I33</f>
        <v/>
      </c>
      <c r="I33" s="61" t="n">
        <v>213</v>
      </c>
    </row>
    <row r="34" ht="22" customHeight="1">
      <c r="A34" s="36" t="inlineStr">
        <is>
          <t>MIX-002</t>
        </is>
      </c>
      <c r="B34" s="37" t="inlineStr">
        <is>
          <t>Lotus Biscoff Spread Smooth 400g</t>
        </is>
      </c>
      <c r="C34" s="39" t="inlineStr">
        <is>
          <t>grams</t>
        </is>
      </c>
      <c r="D34" s="69" t="n">
        <v>0.86</v>
      </c>
      <c r="E34" s="41" t="n">
        <v>0</v>
      </c>
      <c r="F34" s="41" t="n">
        <v>400</v>
      </c>
      <c r="G34" s="64">
        <f>E34+F34</f>
        <v/>
      </c>
      <c r="H34" s="61">
        <f>G34-I34</f>
        <v/>
      </c>
      <c r="I34" s="62" t="n">
        <v>201</v>
      </c>
    </row>
    <row r="35" ht="22" customHeight="1">
      <c r="A35" s="27" t="inlineStr">
        <is>
          <t>MIX-003</t>
        </is>
      </c>
      <c r="B35" s="28" t="inlineStr">
        <is>
          <t>Lotus Biscoff Biscuits (Garnish)</t>
        </is>
      </c>
      <c r="C35" s="30" t="inlineStr">
        <is>
          <t>pcs</t>
        </is>
      </c>
      <c r="D35" s="68" t="n">
        <v>6</v>
      </c>
      <c r="E35" s="32" t="n">
        <v>0</v>
      </c>
      <c r="F35" s="32" t="n">
        <v>32</v>
      </c>
      <c r="G35" s="65">
        <f>E35+F35</f>
        <v/>
      </c>
      <c r="H35" s="61">
        <f>G35-I35</f>
        <v/>
      </c>
      <c r="I35" s="61" t="n">
        <v>13</v>
      </c>
    </row>
    <row r="36" ht="22" customHeight="1">
      <c r="A36" s="36" t="inlineStr">
        <is>
          <t>MIX-004</t>
        </is>
      </c>
      <c r="B36" s="37" t="inlineStr">
        <is>
          <t>Sugar Syrup (Hi-Fructose 500ml)</t>
        </is>
      </c>
      <c r="C36" s="39" t="inlineStr">
        <is>
          <t>bottles</t>
        </is>
      </c>
      <c r="D36" s="69" t="n">
        <v>94</v>
      </c>
      <c r="E36" s="41" t="n">
        <v>1</v>
      </c>
      <c r="F36" s="41" t="n">
        <v>10</v>
      </c>
      <c r="G36" s="64">
        <f>E36+F36</f>
        <v/>
      </c>
      <c r="H36" s="61">
        <f>G36-I36</f>
        <v/>
      </c>
      <c r="I36" s="62" t="n">
        <v>3</v>
      </c>
    </row>
    <row r="37" ht="22" customHeight="1">
      <c r="A37" s="27" t="inlineStr">
        <is>
          <t>MIX-005</t>
        </is>
      </c>
      <c r="B37" s="28" t="inlineStr">
        <is>
          <t>Caramel Mix (Bakersfield Caramel Fudge)</t>
        </is>
      </c>
      <c r="C37" s="30" t="inlineStr">
        <is>
          <t>grams</t>
        </is>
      </c>
      <c r="D37" s="68" t="n">
        <v>0.415</v>
      </c>
      <c r="E37" s="32" t="n">
        <v>0</v>
      </c>
      <c r="F37" s="32" t="n">
        <v>1000</v>
      </c>
      <c r="G37" s="65">
        <f>E37+F37</f>
        <v/>
      </c>
      <c r="H37" s="61">
        <f>G37-I37</f>
        <v/>
      </c>
      <c r="I37" s="67" t="n">
        <v>749.6</v>
      </c>
    </row>
    <row r="38" ht="22" customHeight="1">
      <c r="A38" s="36" t="inlineStr">
        <is>
          <t>MIX-006</t>
        </is>
      </c>
      <c r="B38" s="37" t="inlineStr">
        <is>
          <t>Doreen Condensed Milk 390g</t>
        </is>
      </c>
      <c r="C38" s="39" t="inlineStr">
        <is>
          <t>cans</t>
        </is>
      </c>
      <c r="D38" s="69" t="n">
        <v>44</v>
      </c>
      <c r="E38" s="41" t="n">
        <v>24</v>
      </c>
      <c r="F38" s="41" t="n">
        <v>0</v>
      </c>
      <c r="G38" s="64">
        <f>E38+F38</f>
        <v/>
      </c>
      <c r="H38" s="61">
        <f>G38-I38</f>
        <v/>
      </c>
      <c r="I38" s="66" t="n">
        <v>12.53</v>
      </c>
    </row>
    <row r="39" ht="24" customHeight="1">
      <c r="A39" s="53" t="inlineStr">
        <is>
          <t>🍃  6. POWDERS &amp; BREWING TEA LEAVES</t>
        </is>
      </c>
    </row>
    <row r="40" ht="22" customHeight="1">
      <c r="A40" s="27" t="inlineStr">
        <is>
          <t>POW-001</t>
        </is>
      </c>
      <c r="B40" s="28" t="inlineStr">
        <is>
          <t>Oreo Crushed Cookie Crumbs 454g</t>
        </is>
      </c>
      <c r="C40" s="30" t="inlineStr">
        <is>
          <t>grams</t>
        </is>
      </c>
      <c r="D40" s="68" t="n">
        <v>0.385</v>
      </c>
      <c r="E40" s="32" t="n">
        <v>0</v>
      </c>
      <c r="F40" s="32" t="n">
        <v>454</v>
      </c>
      <c r="G40" s="65">
        <f>E40+F40</f>
        <v/>
      </c>
      <c r="H40" s="61">
        <f>G40-I40</f>
        <v/>
      </c>
      <c r="I40" s="61" t="n">
        <v>296</v>
      </c>
    </row>
    <row r="41" ht="22" customHeight="1">
      <c r="A41" s="36" t="inlineStr">
        <is>
          <t>POW-002</t>
        </is>
      </c>
      <c r="B41" s="37" t="inlineStr">
        <is>
          <t>Easy Cookies &amp; Cream Powder 1kg</t>
        </is>
      </c>
      <c r="C41" s="39" t="inlineStr">
        <is>
          <t>grams</t>
        </is>
      </c>
      <c r="D41" s="69" t="n">
        <v>0.305</v>
      </c>
      <c r="E41" s="41" t="n">
        <v>0</v>
      </c>
      <c r="F41" s="41" t="n">
        <v>1000</v>
      </c>
      <c r="G41" s="64">
        <f>E41+F41</f>
        <v/>
      </c>
      <c r="H41" s="61">
        <f>G41-I41</f>
        <v/>
      </c>
      <c r="I41" s="62" t="n">
        <v>897</v>
      </c>
    </row>
    <row r="42" ht="22" customHeight="1">
      <c r="A42" s="27" t="inlineStr">
        <is>
          <t>POW-003</t>
        </is>
      </c>
      <c r="B42" s="28" t="inlineStr">
        <is>
          <t>Matcha Powder (Pure / Culinary)</t>
        </is>
      </c>
      <c r="C42" s="30" t="inlineStr">
        <is>
          <t>grams</t>
        </is>
      </c>
      <c r="D42" s="68" t="n">
        <v>1.2</v>
      </c>
      <c r="E42" s="32" t="n">
        <v>0</v>
      </c>
      <c r="F42" s="32" t="n">
        <v>300</v>
      </c>
      <c r="G42" s="65">
        <f>E42+F42</f>
        <v/>
      </c>
      <c r="H42" s="61">
        <f>G42-I42</f>
        <v/>
      </c>
      <c r="I42" s="61" t="n">
        <v>101</v>
      </c>
    </row>
    <row r="43" ht="22" customHeight="1">
      <c r="A43" s="36" t="inlineStr">
        <is>
          <t>POW-004</t>
        </is>
      </c>
      <c r="B43" s="37" t="inlineStr">
        <is>
          <t>Black Tea Leaves (Possmei Assam)</t>
        </is>
      </c>
      <c r="C43" s="39" t="inlineStr">
        <is>
          <t>grams</t>
        </is>
      </c>
      <c r="D43" s="69" t="n">
        <v>0.733</v>
      </c>
      <c r="E43" s="41" t="n">
        <v>0</v>
      </c>
      <c r="F43" s="41" t="n">
        <v>600</v>
      </c>
      <c r="G43" s="64">
        <f>E43+F43</f>
        <v/>
      </c>
      <c r="H43" s="61">
        <f>G43-I43</f>
        <v/>
      </c>
      <c r="I43" s="62" t="n">
        <v>698</v>
      </c>
    </row>
    <row r="44" ht="22" customHeight="1">
      <c r="A44" s="27" t="inlineStr">
        <is>
          <t>POW-005</t>
        </is>
      </c>
      <c r="B44" s="28" t="inlineStr">
        <is>
          <t>Jasmine Green Tea Leaves (Possmei)</t>
        </is>
      </c>
      <c r="C44" s="30" t="inlineStr">
        <is>
          <t>grams</t>
        </is>
      </c>
      <c r="D44" s="68" t="n">
        <v>1.28</v>
      </c>
      <c r="E44" s="32" t="n">
        <v>0</v>
      </c>
      <c r="F44" s="32" t="n">
        <v>600</v>
      </c>
      <c r="G44" s="65">
        <f>E44+F44</f>
        <v/>
      </c>
      <c r="H44" s="61">
        <f>G44-I44</f>
        <v/>
      </c>
      <c r="I44" s="61" t="n">
        <v>597</v>
      </c>
    </row>
    <row r="45" ht="22" customHeight="1">
      <c r="A45" s="36" t="inlineStr">
        <is>
          <t>POW-006</t>
        </is>
      </c>
      <c r="B45" s="37" t="inlineStr">
        <is>
          <t>Easy Dark Choco Powder Base 1kg</t>
        </is>
      </c>
      <c r="C45" s="39" t="inlineStr">
        <is>
          <t>grams</t>
        </is>
      </c>
      <c r="D45" s="69" t="n">
        <v>0.396</v>
      </c>
      <c r="E45" s="41" t="n">
        <v>1000</v>
      </c>
      <c r="F45" s="41" t="n">
        <v>1000</v>
      </c>
      <c r="G45" s="64">
        <f>E45+F45</f>
        <v/>
      </c>
      <c r="H45" s="61">
        <f>G45-I45</f>
        <v/>
      </c>
      <c r="I45" s="62" t="n">
        <v>1612</v>
      </c>
    </row>
    <row r="46" ht="22" customHeight="1">
      <c r="A46" s="27" t="inlineStr">
        <is>
          <t>POW-007</t>
        </is>
      </c>
      <c r="B46" s="28" t="inlineStr">
        <is>
          <t>Artisanal Salted Cream Cheese Powder</t>
        </is>
      </c>
      <c r="C46" s="30" t="inlineStr">
        <is>
          <t>grams</t>
        </is>
      </c>
      <c r="D46" s="68" t="n">
        <v>0.4</v>
      </c>
      <c r="E46" s="32" t="n">
        <v>0</v>
      </c>
      <c r="F46" s="32" t="n">
        <v>1000</v>
      </c>
      <c r="G46" s="65">
        <f>E46+F46</f>
        <v/>
      </c>
      <c r="H46" s="61">
        <f>G46-I46</f>
        <v/>
      </c>
      <c r="I46" s="61" t="n">
        <v>448</v>
      </c>
    </row>
    <row r="47" ht="24" customHeight="1">
      <c r="A47" s="55" t="inlineStr">
        <is>
          <t>🍵  7. DILMAH SPECIALTY TEA PACKS</t>
        </is>
      </c>
    </row>
    <row r="48" ht="22" customHeight="1">
      <c r="A48" s="36" t="inlineStr">
        <is>
          <t>DLM-001</t>
        </is>
      </c>
      <c r="B48" s="37" t="inlineStr">
        <is>
          <t>Dilmah Pure Chamomile Flowers Tea</t>
        </is>
      </c>
      <c r="C48" s="39" t="inlineStr">
        <is>
          <t>sachets</t>
        </is>
      </c>
      <c r="D48" s="69" t="n">
        <v>45</v>
      </c>
      <c r="E48" s="41" t="n">
        <v>0</v>
      </c>
      <c r="F48" s="41" t="n">
        <v>100</v>
      </c>
      <c r="G48" s="42">
        <f>E48+F48</f>
        <v/>
      </c>
      <c r="H48" s="62">
        <f>G48-I48</f>
        <v/>
      </c>
      <c r="I48" s="62" t="n">
        <v>100</v>
      </c>
    </row>
    <row r="49" ht="22" customHeight="1">
      <c r="A49" s="27" t="inlineStr">
        <is>
          <t>DLM-002</t>
        </is>
      </c>
      <c r="B49" s="28" t="inlineStr">
        <is>
          <t>Dilmah Earl Grey Tea</t>
        </is>
      </c>
      <c r="C49" s="30" t="inlineStr">
        <is>
          <t>sachets</t>
        </is>
      </c>
      <c r="D49" s="68" t="n">
        <v>45</v>
      </c>
      <c r="E49" s="32" t="n">
        <v>0</v>
      </c>
      <c r="F49" s="32" t="n">
        <v>100</v>
      </c>
      <c r="G49" s="33">
        <f>E49+F49</f>
        <v/>
      </c>
      <c r="H49" s="62">
        <f>G49-I49</f>
        <v/>
      </c>
      <c r="I49" s="61" t="n">
        <v>93</v>
      </c>
    </row>
    <row r="50" ht="22" customHeight="1">
      <c r="A50" s="36" t="inlineStr">
        <is>
          <t>DLM-003</t>
        </is>
      </c>
      <c r="B50" s="37" t="inlineStr">
        <is>
          <t>Dilmah Pure Peppermint Leaves Tea</t>
        </is>
      </c>
      <c r="C50" s="39" t="inlineStr">
        <is>
          <t>sachets</t>
        </is>
      </c>
      <c r="D50" s="69" t="n">
        <v>45</v>
      </c>
      <c r="E50" s="41" t="n">
        <v>0</v>
      </c>
      <c r="F50" s="41" t="n">
        <v>100</v>
      </c>
      <c r="G50" s="42">
        <f>E50+F50</f>
        <v/>
      </c>
      <c r="H50" s="62">
        <f>G50-I50</f>
        <v/>
      </c>
      <c r="I50" s="62" t="n">
        <v>98</v>
      </c>
    </row>
    <row r="51" ht="22" customHeight="1">
      <c r="A51" s="27" t="inlineStr">
        <is>
          <t>DLM-004</t>
        </is>
      </c>
      <c r="B51" s="28" t="inlineStr">
        <is>
          <t>Dilmah Gourmet Pure Green Tea</t>
        </is>
      </c>
      <c r="C51" s="30" t="inlineStr">
        <is>
          <t>sachets</t>
        </is>
      </c>
      <c r="D51" s="68" t="n">
        <v>45</v>
      </c>
      <c r="E51" s="32" t="n">
        <v>0</v>
      </c>
      <c r="F51" s="32" t="n">
        <v>100</v>
      </c>
      <c r="G51" s="33">
        <f>E51+F51</f>
        <v/>
      </c>
      <c r="H51" s="62">
        <f>G51-I51</f>
        <v/>
      </c>
      <c r="I51" s="61" t="n">
        <v>100</v>
      </c>
    </row>
    <row r="52" ht="22" customHeight="1">
      <c r="A52" s="36" t="inlineStr">
        <is>
          <t>DLM-005</t>
        </is>
      </c>
      <c r="B52" s="37" t="inlineStr">
        <is>
          <t>Dilmah Traditional Oolong Tea</t>
        </is>
      </c>
      <c r="C52" s="39" t="inlineStr">
        <is>
          <t>sachets</t>
        </is>
      </c>
      <c r="D52" s="69" t="n">
        <v>45</v>
      </c>
      <c r="E52" s="41" t="n">
        <v>0</v>
      </c>
      <c r="F52" s="41" t="n">
        <v>100</v>
      </c>
      <c r="G52" s="42">
        <f>E52+F52</f>
        <v/>
      </c>
      <c r="H52" s="62">
        <f>G52-I52</f>
        <v/>
      </c>
      <c r="I52" s="62" t="n">
        <v>100</v>
      </c>
    </row>
    <row r="53" ht="22" customHeight="1">
      <c r="A53" s="27" t="inlineStr">
        <is>
          <t>DLM-006</t>
        </is>
      </c>
      <c r="B53" s="28" t="inlineStr">
        <is>
          <t>Dilmah Green Tea with Jasmine</t>
        </is>
      </c>
      <c r="C53" s="30" t="inlineStr">
        <is>
          <t>sachets</t>
        </is>
      </c>
      <c r="D53" s="68" t="n">
        <v>45</v>
      </c>
      <c r="E53" s="32" t="n">
        <v>0</v>
      </c>
      <c r="F53" s="32" t="n">
        <v>100</v>
      </c>
      <c r="G53" s="33">
        <f>E53+F53</f>
        <v/>
      </c>
      <c r="H53" s="62">
        <f>G53-I53</f>
        <v/>
      </c>
      <c r="I53" s="61" t="n">
        <v>100</v>
      </c>
    </row>
    <row r="54" ht="24" customHeight="1">
      <c r="A54" s="52" t="inlineStr">
        <is>
          <t>🥨  8. GRAB-AND-GO RETAIL SNACKS</t>
        </is>
      </c>
    </row>
    <row r="55" ht="22" customHeight="1">
      <c r="A55" s="36" t="inlineStr">
        <is>
          <t>SNK-001</t>
        </is>
      </c>
      <c r="B55" s="37" t="inlineStr">
        <is>
          <t>Pringles Cheddar Cheese 158g</t>
        </is>
      </c>
      <c r="C55" s="39" t="inlineStr">
        <is>
          <t>cans</t>
        </is>
      </c>
      <c r="D55" s="69" t="n">
        <v>98</v>
      </c>
      <c r="E55" s="41" t="n">
        <v>0</v>
      </c>
      <c r="F55" s="41" t="n">
        <v>3</v>
      </c>
      <c r="G55" s="42">
        <f>E55+F55</f>
        <v/>
      </c>
      <c r="H55" s="62">
        <f>G55-I55</f>
        <v/>
      </c>
      <c r="I55" s="62" t="n">
        <v>3</v>
      </c>
    </row>
    <row r="56" ht="22" customHeight="1">
      <c r="A56" s="27" t="inlineStr">
        <is>
          <t>SNK-002</t>
        </is>
      </c>
      <c r="B56" s="28" t="inlineStr">
        <is>
          <t>Pringles Original 158g</t>
        </is>
      </c>
      <c r="C56" s="30" t="inlineStr">
        <is>
          <t>cans</t>
        </is>
      </c>
      <c r="D56" s="68" t="n">
        <v>98</v>
      </c>
      <c r="E56" s="32" t="n">
        <v>0</v>
      </c>
      <c r="F56" s="32" t="n">
        <v>3</v>
      </c>
      <c r="G56" s="33">
        <f>E56+F56</f>
        <v/>
      </c>
      <c r="H56" s="62">
        <f>G56-I56</f>
        <v/>
      </c>
      <c r="I56" s="61" t="n">
        <v>3</v>
      </c>
    </row>
    <row r="57" ht="22" customHeight="1">
      <c r="A57" s="36" t="inlineStr">
        <is>
          <t>SNK-003</t>
        </is>
      </c>
      <c r="B57" s="37" t="inlineStr">
        <is>
          <t>Pringles Sour Cream &amp; Onion 158g</t>
        </is>
      </c>
      <c r="C57" s="39" t="inlineStr">
        <is>
          <t>cans</t>
        </is>
      </c>
      <c r="D57" s="69" t="n">
        <v>98</v>
      </c>
      <c r="E57" s="41" t="n">
        <v>0</v>
      </c>
      <c r="F57" s="41" t="n">
        <v>3</v>
      </c>
      <c r="G57" s="42">
        <f>E57+F57</f>
        <v/>
      </c>
      <c r="H57" s="62">
        <f>G57-I57</f>
        <v/>
      </c>
      <c r="I57" s="62" t="n">
        <v>0</v>
      </c>
    </row>
    <row r="58" ht="22" customHeight="1">
      <c r="A58" s="27" t="inlineStr">
        <is>
          <t>SNK-004</t>
        </is>
      </c>
      <c r="B58" s="28" t="inlineStr">
        <is>
          <t>Cheetos Cheddar Jalapeño 226.8g</t>
        </is>
      </c>
      <c r="C58" s="30" t="inlineStr">
        <is>
          <t>packs</t>
        </is>
      </c>
      <c r="D58" s="68" t="n">
        <v>98</v>
      </c>
      <c r="E58" s="32" t="n">
        <v>0</v>
      </c>
      <c r="F58" s="32" t="n">
        <v>3</v>
      </c>
      <c r="G58" s="33">
        <f>E58+F58</f>
        <v/>
      </c>
      <c r="H58" s="62">
        <f>G58-I58</f>
        <v/>
      </c>
      <c r="I58" s="61" t="n">
        <v>3</v>
      </c>
    </row>
    <row r="59" ht="22" customHeight="1">
      <c r="A59" s="36" t="inlineStr">
        <is>
          <t>SNK-005</t>
        </is>
      </c>
      <c r="B59" s="37" t="inlineStr">
        <is>
          <t>Butter Lover Popcorn Bags</t>
        </is>
      </c>
      <c r="C59" s="39" t="inlineStr">
        <is>
          <t>bags</t>
        </is>
      </c>
      <c r="D59" s="69" t="n">
        <v>85</v>
      </c>
      <c r="E59" s="41" t="n">
        <v>0</v>
      </c>
      <c r="F59" s="41" t="n">
        <v>32</v>
      </c>
      <c r="G59" s="42">
        <f>E59+F59</f>
        <v/>
      </c>
      <c r="H59" s="62">
        <f>G59-I59</f>
        <v/>
      </c>
      <c r="I59" s="62" t="n">
        <v>32</v>
      </c>
    </row>
    <row r="60" ht="24" customHeight="1">
      <c r="A60" s="50" t="inlineStr">
        <is>
          <t>🥤  9. RETAIL DRINKS, WATER &amp; BEERS</t>
        </is>
      </c>
    </row>
    <row r="61" ht="22" customHeight="1">
      <c r="A61" s="27" t="inlineStr">
        <is>
          <t>BEV-001</t>
        </is>
      </c>
      <c r="B61" s="28" t="inlineStr">
        <is>
          <t>Coca-Cola Zero Sugar 320ml Can</t>
        </is>
      </c>
      <c r="C61" s="30" t="inlineStr">
        <is>
          <t>cans</t>
        </is>
      </c>
      <c r="D61" s="68" t="n">
        <v>35</v>
      </c>
      <c r="E61" s="32" t="n">
        <v>0</v>
      </c>
      <c r="F61" s="32" t="n">
        <v>24</v>
      </c>
      <c r="G61" s="33">
        <f>E61+F61</f>
        <v/>
      </c>
      <c r="H61" s="61">
        <f>G61-I61</f>
        <v/>
      </c>
      <c r="I61" s="61" t="n">
        <v>19</v>
      </c>
    </row>
    <row r="62" ht="22" customHeight="1">
      <c r="A62" s="36" t="inlineStr">
        <is>
          <t>BEV-002</t>
        </is>
      </c>
      <c r="B62" s="37" t="inlineStr">
        <is>
          <t>Coca-Cola Regular 320ml Can</t>
        </is>
      </c>
      <c r="C62" s="39" t="inlineStr">
        <is>
          <t>cans</t>
        </is>
      </c>
      <c r="D62" s="69" t="n">
        <v>35</v>
      </c>
      <c r="E62" s="41" t="n">
        <v>0</v>
      </c>
      <c r="F62" s="41" t="n">
        <v>24</v>
      </c>
      <c r="G62" s="42">
        <f>E62+F62</f>
        <v/>
      </c>
      <c r="H62" s="61">
        <f>G62-I62</f>
        <v/>
      </c>
      <c r="I62" s="62" t="n">
        <v>24</v>
      </c>
    </row>
    <row r="63" ht="22" customHeight="1">
      <c r="A63" s="27" t="inlineStr">
        <is>
          <t>BEV-003</t>
        </is>
      </c>
      <c r="B63" s="28" t="inlineStr">
        <is>
          <t>Sprite Soda 320ml Can</t>
        </is>
      </c>
      <c r="C63" s="30" t="inlineStr">
        <is>
          <t>cans</t>
        </is>
      </c>
      <c r="D63" s="68" t="n">
        <v>35</v>
      </c>
      <c r="E63" s="32" t="n">
        <v>0</v>
      </c>
      <c r="F63" s="32" t="n">
        <v>24</v>
      </c>
      <c r="G63" s="33">
        <f>E63+F63</f>
        <v/>
      </c>
      <c r="H63" s="61">
        <f>G63-I63</f>
        <v/>
      </c>
      <c r="I63" s="61" t="n">
        <v>21</v>
      </c>
    </row>
    <row r="64" ht="22" customHeight="1">
      <c r="A64" s="36" t="inlineStr">
        <is>
          <t>BEV-004</t>
        </is>
      </c>
      <c r="B64" s="37" t="inlineStr">
        <is>
          <t>Sprite 1.5L Bottle (Bar Mixer)</t>
        </is>
      </c>
      <c r="C64" s="39" t="inlineStr">
        <is>
          <t>bottles</t>
        </is>
      </c>
      <c r="D64" s="69" t="n">
        <v>69.5</v>
      </c>
      <c r="E64" s="41" t="n">
        <v>4</v>
      </c>
      <c r="F64" s="41" t="n">
        <v>6</v>
      </c>
      <c r="G64" s="64">
        <f>E64+F64</f>
        <v/>
      </c>
      <c r="H64" s="61">
        <f>G64-I64</f>
        <v/>
      </c>
      <c r="I64" s="66" t="n">
        <v>1.5</v>
      </c>
    </row>
    <row r="65" ht="22" customHeight="1">
      <c r="A65" s="27" t="inlineStr">
        <is>
          <t>BEV-005</t>
        </is>
      </c>
      <c r="B65" s="28" t="inlineStr">
        <is>
          <t>Nature Spring Mineral Water 500ml</t>
        </is>
      </c>
      <c r="C65" s="30" t="inlineStr">
        <is>
          <t>bottles</t>
        </is>
      </c>
      <c r="D65" s="68" t="n">
        <v>12</v>
      </c>
      <c r="E65" s="32" t="n">
        <v>0</v>
      </c>
      <c r="F65" s="32" t="n">
        <v>35</v>
      </c>
      <c r="G65" s="33">
        <f>E65+F65</f>
        <v/>
      </c>
      <c r="H65" s="61">
        <f>G65-I65</f>
        <v/>
      </c>
      <c r="I65" s="61" t="n">
        <v>0</v>
      </c>
    </row>
    <row r="66" ht="22" customHeight="1">
      <c r="A66" s="36" t="inlineStr">
        <is>
          <t>BEV-006</t>
        </is>
      </c>
      <c r="B66" s="37" t="inlineStr">
        <is>
          <t>Nature Spring Mineral Water 1L</t>
        </is>
      </c>
      <c r="C66" s="39" t="inlineStr">
        <is>
          <t>bottles</t>
        </is>
      </c>
      <c r="D66" s="69" t="n">
        <v>18</v>
      </c>
      <c r="E66" s="41" t="n">
        <v>0</v>
      </c>
      <c r="F66" s="41" t="n">
        <v>20</v>
      </c>
      <c r="G66" s="42">
        <f>E66+F66</f>
        <v/>
      </c>
      <c r="H66" s="61">
        <f>G66-I66</f>
        <v/>
      </c>
      <c r="I66" s="62" t="n">
        <v>15</v>
      </c>
    </row>
    <row r="67" ht="22" customHeight="1">
      <c r="A67" s="27" t="inlineStr">
        <is>
          <t>BEV-007</t>
        </is>
      </c>
      <c r="B67" s="28" t="inlineStr">
        <is>
          <t>Red Horse Stallion Beer 330ml</t>
        </is>
      </c>
      <c r="C67" s="30" t="inlineStr">
        <is>
          <t>bottles</t>
        </is>
      </c>
      <c r="D67" s="68" t="n">
        <v>55</v>
      </c>
      <c r="E67" s="32" t="n">
        <v>0</v>
      </c>
      <c r="F67" s="32" t="n">
        <v>48</v>
      </c>
      <c r="G67" s="33">
        <f>E67+F67</f>
        <v/>
      </c>
      <c r="H67" s="61">
        <f>G67-I67</f>
        <v/>
      </c>
      <c r="I67" s="61" t="n">
        <v>39</v>
      </c>
    </row>
    <row r="68" ht="22" customHeight="1">
      <c r="A68" s="36" t="inlineStr">
        <is>
          <t>BEV-008</t>
        </is>
      </c>
      <c r="B68" s="37" t="inlineStr">
        <is>
          <t>San Miguel Pale Pilsen 320ml</t>
        </is>
      </c>
      <c r="C68" s="39" t="inlineStr">
        <is>
          <t>bottles</t>
        </is>
      </c>
      <c r="D68" s="69" t="n">
        <v>52</v>
      </c>
      <c r="E68" s="41" t="n">
        <v>0</v>
      </c>
      <c r="F68" s="41" t="n">
        <v>48</v>
      </c>
      <c r="G68" s="42">
        <f>E68+F68</f>
        <v/>
      </c>
      <c r="H68" s="61">
        <f>G68-I68</f>
        <v/>
      </c>
      <c r="I68" s="62" t="n">
        <v>44</v>
      </c>
    </row>
    <row r="69" ht="22" customHeight="1">
      <c r="A69" s="27" t="inlineStr">
        <is>
          <t>BEV-009</t>
        </is>
      </c>
      <c r="B69" s="28" t="inlineStr">
        <is>
          <t>San Mig Light - Apple 330ml</t>
        </is>
      </c>
      <c r="C69" s="30" t="inlineStr">
        <is>
          <t>bottles</t>
        </is>
      </c>
      <c r="D69" s="68" t="n">
        <v>48</v>
      </c>
      <c r="E69" s="32" t="n">
        <v>0</v>
      </c>
      <c r="F69" s="32" t="n">
        <v>24</v>
      </c>
      <c r="G69" s="33">
        <f>E69+F69</f>
        <v/>
      </c>
      <c r="H69" s="61">
        <f>G69-I69</f>
        <v/>
      </c>
      <c r="I69" s="61" t="n">
        <v>22</v>
      </c>
    </row>
    <row r="70" ht="22" customHeight="1">
      <c r="A70" s="36" t="inlineStr">
        <is>
          <t>BEV-010</t>
        </is>
      </c>
      <c r="B70" s="37" t="inlineStr">
        <is>
          <t>Evian Natural Spring Water 500ml</t>
        </is>
      </c>
      <c r="C70" s="39" t="inlineStr">
        <is>
          <t>bottles</t>
        </is>
      </c>
      <c r="D70" s="69" t="n">
        <v>95</v>
      </c>
      <c r="E70" s="41" t="n">
        <v>0</v>
      </c>
      <c r="F70" s="41" t="n">
        <v>6</v>
      </c>
      <c r="G70" s="42">
        <f>E70+F70</f>
        <v/>
      </c>
      <c r="H70" s="61">
        <f>G70-I70</f>
        <v/>
      </c>
      <c r="I70" s="62" t="n">
        <v>6</v>
      </c>
    </row>
    <row r="71" ht="22" customHeight="1">
      <c r="A71" s="27" t="inlineStr">
        <is>
          <t>BEV-011</t>
        </is>
      </c>
      <c r="B71" s="28" t="inlineStr">
        <is>
          <t>Perrier Sparkling Mineral Water 330ml</t>
        </is>
      </c>
      <c r="C71" s="30" t="inlineStr">
        <is>
          <t>bottles</t>
        </is>
      </c>
      <c r="D71" s="68" t="n">
        <v>110</v>
      </c>
      <c r="E71" s="32" t="n">
        <v>0</v>
      </c>
      <c r="F71" s="32" t="n">
        <v>4</v>
      </c>
      <c r="G71" s="33">
        <f>E71+F71</f>
        <v/>
      </c>
      <c r="H71" s="61">
        <f>G71-I71</f>
        <v/>
      </c>
      <c r="I71" s="61" t="n">
        <v>4</v>
      </c>
    </row>
  </sheetData>
  <mergeCells count="10">
    <mergeCell ref="A11:I11"/>
    <mergeCell ref="A47:I47"/>
    <mergeCell ref="A60:I60"/>
    <mergeCell ref="A32:I32"/>
    <mergeCell ref="A1:I1"/>
    <mergeCell ref="A8:I8"/>
    <mergeCell ref="A39:I39"/>
    <mergeCell ref="A4:I4"/>
    <mergeCell ref="A24:I24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4" topLeftCell="A5" activePane="bottomLeft" state="frozen"/>
      <selection activeCell="A1" sqref="A1"/>
      <selection pane="bottomLeft" activeCell="A1" sqref="A1:I1"/>
    </sheetView>
  </sheetViews>
  <sheetFormatPr baseColWidth="8" defaultColWidth="9" defaultRowHeight="14.5"/>
  <cols>
    <col width="12" customWidth="1" min="1" max="1"/>
    <col width="36" customWidth="1" min="2" max="2"/>
    <col width="18" customWidth="1" min="3" max="3"/>
    <col width="10" customWidth="1" min="4" max="4"/>
    <col width="12" customWidth="1" min="5" max="5"/>
    <col width="16" customWidth="1" min="6" max="8"/>
    <col width="18" customWidth="1" min="9" max="9"/>
  </cols>
  <sheetData>
    <row r="1" ht="36" customHeight="1">
      <c r="A1" s="23" t="inlineStr">
        <is>
          <t>ESPRESSO YOURSELF &amp; TEA HOUSE — PREPARED BEVERAGE INVENTORY &amp; SALES AUDIT</t>
        </is>
      </c>
    </row>
    <row r="2" ht="22" customHeight="1">
      <c r="A2" s="24" t="inlineStr">
        <is>
          <t>Branch #30 (Cebu City)  |  Beginning System Baseline vs Current Stock Now = Sales Units Sold  |  Audit Date: September 22, 2026</t>
        </is>
      </c>
    </row>
    <row r="3" ht="15.25" customHeight="1"/>
    <row r="4" ht="28" customHeight="1">
      <c r="A4" s="25" t="inlineStr">
        <is>
          <t>Product ID</t>
        </is>
      </c>
      <c r="B4" s="25" t="inlineStr">
        <is>
          <t>Beverage / Coffee Name</t>
        </is>
      </c>
      <c r="C4" s="25" t="inlineStr">
        <is>
          <t>Category</t>
        </is>
      </c>
      <c r="D4" s="25" t="inlineStr">
        <is>
          <t>Unit</t>
        </is>
      </c>
      <c r="E4" s="25" t="inlineStr">
        <is>
          <t>Price (₱)</t>
        </is>
      </c>
      <c r="F4" s="25" t="inlineStr">
        <is>
          <t>Beginning Stock
(Baseline)</t>
        </is>
      </c>
      <c r="G4" s="25" t="inlineStr">
        <is>
          <t>★ Stock Now ★
(Current POS)</t>
        </is>
      </c>
      <c r="H4" s="25" t="inlineStr">
        <is>
          <t>Sales (Variance)
(Units Sold)</t>
        </is>
      </c>
      <c r="I4" s="25" t="inlineStr">
        <is>
          <t>Total Sales
Revenue (₱)</t>
        </is>
      </c>
    </row>
    <row r="5" ht="24" customHeight="1">
      <c r="A5" s="26" t="inlineStr">
        <is>
          <t>☕  CATEGORY: HOT COFFEE (37 Beverages)</t>
        </is>
      </c>
    </row>
    <row r="6" ht="20" customHeight="1">
      <c r="A6" s="27" t="inlineStr">
        <is>
          <t>DRK-469</t>
        </is>
      </c>
      <c r="B6" s="28" t="inlineStr">
        <is>
          <t>Hot Americano (Small)</t>
        </is>
      </c>
      <c r="C6" s="29" t="inlineStr">
        <is>
          <t>Hot Coffee</t>
        </is>
      </c>
      <c r="D6" s="30" t="inlineStr">
        <is>
          <t>cups</t>
        </is>
      </c>
      <c r="E6" s="68" t="n">
        <v>99</v>
      </c>
      <c r="F6" s="32" t="n">
        <v>9999</v>
      </c>
      <c r="G6" s="33" t="n">
        <v>9958</v>
      </c>
      <c r="H6" s="34">
        <f>F6-G6</f>
        <v/>
      </c>
      <c r="I6" s="70">
        <f>H6*E6</f>
        <v/>
      </c>
    </row>
    <row r="7" ht="20" customHeight="1">
      <c r="A7" s="36" t="inlineStr">
        <is>
          <t>DRK-477</t>
        </is>
      </c>
      <c r="B7" s="37" t="inlineStr">
        <is>
          <t>Hot Latte (Small)</t>
        </is>
      </c>
      <c r="C7" s="38" t="inlineStr">
        <is>
          <t>Hot Coffee</t>
        </is>
      </c>
      <c r="D7" s="39" t="inlineStr">
        <is>
          <t>cups</t>
        </is>
      </c>
      <c r="E7" s="69" t="n">
        <v>105</v>
      </c>
      <c r="F7" s="41" t="n">
        <v>9999</v>
      </c>
      <c r="G7" s="42" t="n">
        <v>9975</v>
      </c>
      <c r="H7" s="34">
        <f>F7-G7</f>
        <v/>
      </c>
      <c r="I7" s="71">
        <f>H7*E7</f>
        <v/>
      </c>
    </row>
    <row r="8" ht="20" customHeight="1">
      <c r="A8" s="27" t="inlineStr">
        <is>
          <t>DRK-497</t>
        </is>
      </c>
      <c r="B8" s="28" t="inlineStr">
        <is>
          <t>Hot Spanish Latte (Small)</t>
        </is>
      </c>
      <c r="C8" s="29" t="inlineStr">
        <is>
          <t>Hot Coffee</t>
        </is>
      </c>
      <c r="D8" s="30" t="inlineStr">
        <is>
          <t>cups</t>
        </is>
      </c>
      <c r="E8" s="68" t="n">
        <v>105</v>
      </c>
      <c r="F8" s="32" t="n">
        <v>9999</v>
      </c>
      <c r="G8" s="33" t="n">
        <v>9982</v>
      </c>
      <c r="H8" s="44">
        <f>F8-G8</f>
        <v/>
      </c>
      <c r="I8" s="70">
        <f>H8*E8</f>
        <v/>
      </c>
    </row>
    <row r="9" ht="20" customHeight="1">
      <c r="A9" s="36" t="inlineStr">
        <is>
          <t>DRK-501</t>
        </is>
      </c>
      <c r="B9" s="37" t="inlineStr">
        <is>
          <t>Hot Cappuccino (Small)</t>
        </is>
      </c>
      <c r="C9" s="38" t="inlineStr">
        <is>
          <t>Hot Coffee</t>
        </is>
      </c>
      <c r="D9" s="39" t="inlineStr">
        <is>
          <t>cups</t>
        </is>
      </c>
      <c r="E9" s="69" t="n">
        <v>105</v>
      </c>
      <c r="F9" s="41" t="n">
        <v>9999</v>
      </c>
      <c r="G9" s="42" t="n">
        <v>9983</v>
      </c>
      <c r="H9" s="44">
        <f>F9-G9</f>
        <v/>
      </c>
      <c r="I9" s="71">
        <f>H9*E9</f>
        <v/>
      </c>
    </row>
    <row r="10" ht="20" customHeight="1">
      <c r="A10" s="27" t="inlineStr">
        <is>
          <t>DRK-478</t>
        </is>
      </c>
      <c r="B10" s="28" t="inlineStr">
        <is>
          <t>Hot Latte (Large)</t>
        </is>
      </c>
      <c r="C10" s="29" t="inlineStr">
        <is>
          <t>Hot Coffee</t>
        </is>
      </c>
      <c r="D10" s="30" t="inlineStr">
        <is>
          <t>cups</t>
        </is>
      </c>
      <c r="E10" s="68" t="n">
        <v>149</v>
      </c>
      <c r="F10" s="32" t="n">
        <v>9999</v>
      </c>
      <c r="G10" s="33" t="n">
        <v>9983</v>
      </c>
      <c r="H10" s="44">
        <f>F10-G10</f>
        <v/>
      </c>
      <c r="I10" s="70">
        <f>H10*E10</f>
        <v/>
      </c>
    </row>
    <row r="11" ht="20" customHeight="1">
      <c r="A11" s="36" t="inlineStr">
        <is>
          <t>DRK-579</t>
        </is>
      </c>
      <c r="B11" s="37" t="inlineStr">
        <is>
          <t>Hot Choco (Large)</t>
        </is>
      </c>
      <c r="C11" s="38" t="inlineStr">
        <is>
          <t>Hot Coffee</t>
        </is>
      </c>
      <c r="D11" s="39" t="inlineStr">
        <is>
          <t>cups</t>
        </is>
      </c>
      <c r="E11" s="69" t="n">
        <v>149</v>
      </c>
      <c r="F11" s="41" t="n">
        <v>9999</v>
      </c>
      <c r="G11" s="42" t="n">
        <v>9984</v>
      </c>
      <c r="H11" s="44">
        <f>F11-G11</f>
        <v/>
      </c>
      <c r="I11" s="71">
        <f>H11*E11</f>
        <v/>
      </c>
    </row>
    <row r="12" ht="20" customHeight="1">
      <c r="A12" s="27" t="inlineStr">
        <is>
          <t>DRK-482</t>
        </is>
      </c>
      <c r="B12" s="28" t="inlineStr">
        <is>
          <t>Hot Macadamia Latte (Large)</t>
        </is>
      </c>
      <c r="C12" s="29" t="inlineStr">
        <is>
          <t>Hot Coffee</t>
        </is>
      </c>
      <c r="D12" s="30" t="inlineStr">
        <is>
          <t>cups</t>
        </is>
      </c>
      <c r="E12" s="68" t="n">
        <v>149</v>
      </c>
      <c r="F12" s="32" t="n">
        <v>9999</v>
      </c>
      <c r="G12" s="33" t="n">
        <v>9990</v>
      </c>
      <c r="H12" s="44">
        <f>F12-G12</f>
        <v/>
      </c>
      <c r="I12" s="70">
        <f>H12*E12</f>
        <v/>
      </c>
    </row>
    <row r="13" ht="20" customHeight="1">
      <c r="A13" s="36" t="inlineStr">
        <is>
          <t>DRK-473</t>
        </is>
      </c>
      <c r="B13" s="37" t="inlineStr">
        <is>
          <t>Hot Mocha (Small)</t>
        </is>
      </c>
      <c r="C13" s="38" t="inlineStr">
        <is>
          <t>Hot Coffee</t>
        </is>
      </c>
      <c r="D13" s="39" t="inlineStr">
        <is>
          <t>cups</t>
        </is>
      </c>
      <c r="E13" s="69" t="n">
        <v>105</v>
      </c>
      <c r="F13" s="41" t="n">
        <v>9999</v>
      </c>
      <c r="G13" s="42" t="n">
        <v>9992</v>
      </c>
      <c r="H13" s="44">
        <f>F13-G13</f>
        <v/>
      </c>
      <c r="I13" s="71">
        <f>H13*E13</f>
        <v/>
      </c>
    </row>
    <row r="14" ht="20" customHeight="1">
      <c r="A14" s="27" t="inlineStr">
        <is>
          <t>DRK-493</t>
        </is>
      </c>
      <c r="B14" s="28" t="inlineStr">
        <is>
          <t>Hot Caramel Macchiato (Small)</t>
        </is>
      </c>
      <c r="C14" s="29" t="inlineStr">
        <is>
          <t>Hot Coffee</t>
        </is>
      </c>
      <c r="D14" s="30" t="inlineStr">
        <is>
          <t>cups</t>
        </is>
      </c>
      <c r="E14" s="68" t="n">
        <v>105</v>
      </c>
      <c r="F14" s="32" t="n">
        <v>9999</v>
      </c>
      <c r="G14" s="33" t="n">
        <v>9993</v>
      </c>
      <c r="H14" s="44">
        <f>F14-G14</f>
        <v/>
      </c>
      <c r="I14" s="70">
        <f>H14*E14</f>
        <v/>
      </c>
    </row>
    <row r="15" ht="20" customHeight="1">
      <c r="A15" s="36" t="inlineStr">
        <is>
          <t>DRK-578</t>
        </is>
      </c>
      <c r="B15" s="37" t="inlineStr">
        <is>
          <t>Hot Choco (Small)</t>
        </is>
      </c>
      <c r="C15" s="38" t="inlineStr">
        <is>
          <t>Hot Coffee</t>
        </is>
      </c>
      <c r="D15" s="39" t="inlineStr">
        <is>
          <t>cups</t>
        </is>
      </c>
      <c r="E15" s="69" t="n">
        <v>105</v>
      </c>
      <c r="F15" s="41" t="n">
        <v>9999</v>
      </c>
      <c r="G15" s="42" t="n">
        <v>9993</v>
      </c>
      <c r="H15" s="44">
        <f>F15-G15</f>
        <v/>
      </c>
      <c r="I15" s="71">
        <f>H15*E15</f>
        <v/>
      </c>
    </row>
    <row r="16" ht="20" customHeight="1">
      <c r="A16" s="27" t="inlineStr">
        <is>
          <t>DRK-474</t>
        </is>
      </c>
      <c r="B16" s="28" t="inlineStr">
        <is>
          <t>Hot Mocha (Large)</t>
        </is>
      </c>
      <c r="C16" s="29" t="inlineStr">
        <is>
          <t>Hot Coffee</t>
        </is>
      </c>
      <c r="D16" s="30" t="inlineStr">
        <is>
          <t>cups</t>
        </is>
      </c>
      <c r="E16" s="68" t="n">
        <v>149</v>
      </c>
      <c r="F16" s="32" t="n">
        <v>9999</v>
      </c>
      <c r="G16" s="33" t="n">
        <v>9994</v>
      </c>
      <c r="H16" s="44">
        <f>F16-G16</f>
        <v/>
      </c>
      <c r="I16" s="70">
        <f>H16*E16</f>
        <v/>
      </c>
    </row>
    <row r="17" ht="20" customHeight="1">
      <c r="A17" s="36" t="inlineStr">
        <is>
          <t>DRK-502</t>
        </is>
      </c>
      <c r="B17" s="37" t="inlineStr">
        <is>
          <t>Hot Cappuccino (Large)</t>
        </is>
      </c>
      <c r="C17" s="38" t="inlineStr">
        <is>
          <t>Hot Coffee</t>
        </is>
      </c>
      <c r="D17" s="39" t="inlineStr">
        <is>
          <t>cups</t>
        </is>
      </c>
      <c r="E17" s="69" t="n">
        <v>149</v>
      </c>
      <c r="F17" s="41" t="n">
        <v>9999</v>
      </c>
      <c r="G17" s="42" t="n">
        <v>9995</v>
      </c>
      <c r="H17" s="44">
        <f>F17-G17</f>
        <v/>
      </c>
      <c r="I17" s="71">
        <f>H17*E17</f>
        <v/>
      </c>
    </row>
    <row r="18" ht="20" customHeight="1">
      <c r="A18" s="27" t="inlineStr">
        <is>
          <t>DRK-489</t>
        </is>
      </c>
      <c r="B18" s="28" t="inlineStr">
        <is>
          <t>Hot French Vanilla (Small)</t>
        </is>
      </c>
      <c r="C18" s="29" t="inlineStr">
        <is>
          <t>Hot Coffee</t>
        </is>
      </c>
      <c r="D18" s="30" t="inlineStr">
        <is>
          <t>cups</t>
        </is>
      </c>
      <c r="E18" s="68" t="n">
        <v>105</v>
      </c>
      <c r="F18" s="32" t="n">
        <v>9999</v>
      </c>
      <c r="G18" s="33" t="n">
        <v>9995</v>
      </c>
      <c r="H18" s="44">
        <f>F18-G18</f>
        <v/>
      </c>
      <c r="I18" s="70">
        <f>H18*E18</f>
        <v/>
      </c>
    </row>
    <row r="19" ht="20" customHeight="1">
      <c r="A19" s="36" t="inlineStr">
        <is>
          <t>DRK-481</t>
        </is>
      </c>
      <c r="B19" s="37" t="inlineStr">
        <is>
          <t>Hot Macadamia Latte (Small)</t>
        </is>
      </c>
      <c r="C19" s="38" t="inlineStr">
        <is>
          <t>Hot Coffee</t>
        </is>
      </c>
      <c r="D19" s="39" t="inlineStr">
        <is>
          <t>cups</t>
        </is>
      </c>
      <c r="E19" s="69" t="n">
        <v>105</v>
      </c>
      <c r="F19" s="41" t="n">
        <v>9999</v>
      </c>
      <c r="G19" s="42" t="n">
        <v>9995</v>
      </c>
      <c r="H19" s="44">
        <f>F19-G19</f>
        <v/>
      </c>
      <c r="I19" s="71">
        <f>H19*E19</f>
        <v/>
      </c>
    </row>
    <row r="20" ht="20" customHeight="1">
      <c r="A20" s="27" t="inlineStr">
        <is>
          <t>DRK-505</t>
        </is>
      </c>
      <c r="B20" s="28" t="inlineStr">
        <is>
          <t>Hot White Chocolate Latte (Small)</t>
        </is>
      </c>
      <c r="C20" s="29" t="inlineStr">
        <is>
          <t>Hot Coffee</t>
        </is>
      </c>
      <c r="D20" s="30" t="inlineStr">
        <is>
          <t>cups</t>
        </is>
      </c>
      <c r="E20" s="68" t="n">
        <v>105</v>
      </c>
      <c r="F20" s="32" t="n">
        <v>9999</v>
      </c>
      <c r="G20" s="33" t="n">
        <v>9997</v>
      </c>
      <c r="H20" s="44">
        <f>F20-G20</f>
        <v/>
      </c>
      <c r="I20" s="70">
        <f>H20*E20</f>
        <v/>
      </c>
    </row>
    <row r="21" ht="20" customHeight="1">
      <c r="A21" s="36" t="inlineStr">
        <is>
          <t>DRK-506</t>
        </is>
      </c>
      <c r="B21" s="37" t="inlineStr">
        <is>
          <t>Hot White Chocolate Latte (Large)</t>
        </is>
      </c>
      <c r="C21" s="38" t="inlineStr">
        <is>
          <t>Hot Coffee</t>
        </is>
      </c>
      <c r="D21" s="39" t="inlineStr">
        <is>
          <t>cups</t>
        </is>
      </c>
      <c r="E21" s="69" t="n">
        <v>149</v>
      </c>
      <c r="F21" s="41" t="n">
        <v>9999</v>
      </c>
      <c r="G21" s="42" t="n">
        <v>9998</v>
      </c>
      <c r="H21" s="44">
        <f>F21-G21</f>
        <v/>
      </c>
      <c r="I21" s="71">
        <f>H21*E21</f>
        <v/>
      </c>
    </row>
    <row r="22" ht="20" customHeight="1">
      <c r="A22" s="27" t="inlineStr">
        <is>
          <t>DRK-659</t>
        </is>
      </c>
      <c r="B22" s="28" t="inlineStr">
        <is>
          <t>Hot Seasalt Latte (Small)</t>
        </is>
      </c>
      <c r="C22" s="29" t="inlineStr">
        <is>
          <t>Hot Coffee</t>
        </is>
      </c>
      <c r="D22" s="30" t="inlineStr">
        <is>
          <t>cups</t>
        </is>
      </c>
      <c r="E22" s="68" t="n">
        <v>105</v>
      </c>
      <c r="F22" s="32" t="n">
        <v>9999</v>
      </c>
      <c r="G22" s="33" t="n">
        <v>9998</v>
      </c>
      <c r="H22" s="44">
        <f>F22-G22</f>
        <v/>
      </c>
      <c r="I22" s="70">
        <f>H22*E22</f>
        <v/>
      </c>
    </row>
    <row r="23" ht="20" customHeight="1">
      <c r="A23" s="36" t="inlineStr">
        <is>
          <t>DRK-661</t>
        </is>
      </c>
      <c r="B23" s="37" t="inlineStr">
        <is>
          <t>Hot Hazelnut Latte (Small)</t>
        </is>
      </c>
      <c r="C23" s="38" t="inlineStr">
        <is>
          <t>Hot Coffee</t>
        </is>
      </c>
      <c r="D23" s="39" t="inlineStr">
        <is>
          <t>cups</t>
        </is>
      </c>
      <c r="E23" s="69" t="n">
        <v>105</v>
      </c>
      <c r="F23" s="41" t="n">
        <v>9999</v>
      </c>
      <c r="G23" s="42" t="n">
        <v>9998</v>
      </c>
      <c r="H23" s="44">
        <f>F23-G23</f>
        <v/>
      </c>
      <c r="I23" s="71">
        <f>H23*E23</f>
        <v/>
      </c>
    </row>
    <row r="24" ht="20" customHeight="1">
      <c r="A24" s="27" t="inlineStr">
        <is>
          <t>DRK-498</t>
        </is>
      </c>
      <c r="B24" s="28" t="inlineStr">
        <is>
          <t>Hot Spanish Latte (Large)</t>
        </is>
      </c>
      <c r="C24" s="29" t="inlineStr">
        <is>
          <t>Hot Coffee</t>
        </is>
      </c>
      <c r="D24" s="30" t="inlineStr">
        <is>
          <t>cups</t>
        </is>
      </c>
      <c r="E24" s="68" t="n">
        <v>149</v>
      </c>
      <c r="F24" s="32" t="n">
        <v>9999</v>
      </c>
      <c r="G24" s="33" t="n">
        <v>9998</v>
      </c>
      <c r="H24" s="44">
        <f>F24-G24</f>
        <v/>
      </c>
      <c r="I24" s="70">
        <f>H24*E24</f>
        <v/>
      </c>
    </row>
    <row r="25" ht="20" customHeight="1">
      <c r="A25" s="36" t="inlineStr">
        <is>
          <t>DRK-653</t>
        </is>
      </c>
      <c r="B25" s="37" t="inlineStr">
        <is>
          <t>Hot Biscoff Latte (Small)</t>
        </is>
      </c>
      <c r="C25" s="38" t="inlineStr">
        <is>
          <t>Hot Coffee</t>
        </is>
      </c>
      <c r="D25" s="39" t="inlineStr">
        <is>
          <t>cups</t>
        </is>
      </c>
      <c r="E25" s="69" t="n">
        <v>105</v>
      </c>
      <c r="F25" s="41" t="n">
        <v>9999</v>
      </c>
      <c r="G25" s="42" t="n">
        <v>9999</v>
      </c>
      <c r="H25" s="45">
        <f>F25-G25</f>
        <v/>
      </c>
      <c r="I25" s="71">
        <f>H25*E25</f>
        <v/>
      </c>
    </row>
    <row r="26" ht="20" customHeight="1">
      <c r="A26" s="27" t="inlineStr">
        <is>
          <t>DRK-654</t>
        </is>
      </c>
      <c r="B26" s="28" t="inlineStr">
        <is>
          <t>Hot Biscoff Latte (Large)</t>
        </is>
      </c>
      <c r="C26" s="29" t="inlineStr">
        <is>
          <t>Hot Coffee</t>
        </is>
      </c>
      <c r="D26" s="30" t="inlineStr">
        <is>
          <t>cups</t>
        </is>
      </c>
      <c r="E26" s="68" t="n">
        <v>149</v>
      </c>
      <c r="F26" s="32" t="n">
        <v>9999</v>
      </c>
      <c r="G26" s="33" t="n">
        <v>9999</v>
      </c>
      <c r="H26" s="45">
        <f>F26-G26</f>
        <v/>
      </c>
      <c r="I26" s="70">
        <f>H26*E26</f>
        <v/>
      </c>
    </row>
    <row r="27" ht="20" customHeight="1">
      <c r="A27" s="36" t="inlineStr">
        <is>
          <t>DRK-655</t>
        </is>
      </c>
      <c r="B27" s="37" t="inlineStr">
        <is>
          <t>Hot Salted Caramel (Small)</t>
        </is>
      </c>
      <c r="C27" s="38" t="inlineStr">
        <is>
          <t>Hot Coffee</t>
        </is>
      </c>
      <c r="D27" s="39" t="inlineStr">
        <is>
          <t>cups</t>
        </is>
      </c>
      <c r="E27" s="69" t="n">
        <v>105</v>
      </c>
      <c r="F27" s="41" t="n">
        <v>9999</v>
      </c>
      <c r="G27" s="42" t="n">
        <v>9999</v>
      </c>
      <c r="H27" s="45">
        <f>F27-G27</f>
        <v/>
      </c>
      <c r="I27" s="71">
        <f>H27*E27</f>
        <v/>
      </c>
    </row>
    <row r="28" ht="20" customHeight="1">
      <c r="A28" s="27" t="inlineStr">
        <is>
          <t>DRK-656</t>
        </is>
      </c>
      <c r="B28" s="28" t="inlineStr">
        <is>
          <t>Hot Salted Caramel (Large)</t>
        </is>
      </c>
      <c r="C28" s="29" t="inlineStr">
        <is>
          <t>Hot Coffee</t>
        </is>
      </c>
      <c r="D28" s="30" t="inlineStr">
        <is>
          <t>cups</t>
        </is>
      </c>
      <c r="E28" s="68" t="n">
        <v>149</v>
      </c>
      <c r="F28" s="32" t="n">
        <v>9999</v>
      </c>
      <c r="G28" s="33" t="n">
        <v>9999</v>
      </c>
      <c r="H28" s="45">
        <f>F28-G28</f>
        <v/>
      </c>
      <c r="I28" s="70">
        <f>H28*E28</f>
        <v/>
      </c>
    </row>
    <row r="29" ht="20" customHeight="1">
      <c r="A29" s="36" t="inlineStr">
        <is>
          <t>DRK-657</t>
        </is>
      </c>
      <c r="B29" s="37" t="inlineStr">
        <is>
          <t>Hot Affogato (Small)</t>
        </is>
      </c>
      <c r="C29" s="38" t="inlineStr">
        <is>
          <t>Hot Coffee</t>
        </is>
      </c>
      <c r="D29" s="39" t="inlineStr">
        <is>
          <t>cups</t>
        </is>
      </c>
      <c r="E29" s="69" t="n">
        <v>105</v>
      </c>
      <c r="F29" s="41" t="n">
        <v>9999</v>
      </c>
      <c r="G29" s="42" t="n">
        <v>9999</v>
      </c>
      <c r="H29" s="45">
        <f>F29-G29</f>
        <v/>
      </c>
      <c r="I29" s="71">
        <f>H29*E29</f>
        <v/>
      </c>
    </row>
    <row r="30" ht="20" customHeight="1">
      <c r="A30" s="27" t="inlineStr">
        <is>
          <t>DRK-658</t>
        </is>
      </c>
      <c r="B30" s="28" t="inlineStr">
        <is>
          <t>Hot Affogato (Large)</t>
        </is>
      </c>
      <c r="C30" s="29" t="inlineStr">
        <is>
          <t>Hot Coffee</t>
        </is>
      </c>
      <c r="D30" s="30" t="inlineStr">
        <is>
          <t>cups</t>
        </is>
      </c>
      <c r="E30" s="68" t="n">
        <v>149</v>
      </c>
      <c r="F30" s="32" t="n">
        <v>9999</v>
      </c>
      <c r="G30" s="33" t="n">
        <v>9999</v>
      </c>
      <c r="H30" s="45">
        <f>F30-G30</f>
        <v/>
      </c>
      <c r="I30" s="70">
        <f>H30*E30</f>
        <v/>
      </c>
    </row>
    <row r="31" ht="20" customHeight="1">
      <c r="A31" s="36" t="inlineStr">
        <is>
          <t>DRK-660</t>
        </is>
      </c>
      <c r="B31" s="37" t="inlineStr">
        <is>
          <t>Hot Seasalt Latte (Large)</t>
        </is>
      </c>
      <c r="C31" s="38" t="inlineStr">
        <is>
          <t>Hot Coffee</t>
        </is>
      </c>
      <c r="D31" s="39" t="inlineStr">
        <is>
          <t>pcs</t>
        </is>
      </c>
      <c r="E31" s="69" t="n">
        <v>149</v>
      </c>
      <c r="F31" s="41" t="n">
        <v>9999</v>
      </c>
      <c r="G31" s="42" t="n">
        <v>9999</v>
      </c>
      <c r="H31" s="45">
        <f>F31-G31</f>
        <v/>
      </c>
      <c r="I31" s="71">
        <f>H31*E31</f>
        <v/>
      </c>
    </row>
    <row r="32" ht="20" customHeight="1">
      <c r="A32" s="27" t="inlineStr">
        <is>
          <t>DRK-662</t>
        </is>
      </c>
      <c r="B32" s="28" t="inlineStr">
        <is>
          <t>Hot Hazelnut Latte (Large)</t>
        </is>
      </c>
      <c r="C32" s="29" t="inlineStr">
        <is>
          <t>Hot Coffee</t>
        </is>
      </c>
      <c r="D32" s="30" t="inlineStr">
        <is>
          <t>cups</t>
        </is>
      </c>
      <c r="E32" s="68" t="n">
        <v>149</v>
      </c>
      <c r="F32" s="32" t="n">
        <v>9999</v>
      </c>
      <c r="G32" s="33" t="n">
        <v>9999</v>
      </c>
      <c r="H32" s="45">
        <f>F32-G32</f>
        <v/>
      </c>
      <c r="I32" s="70">
        <f>H32*E32</f>
        <v/>
      </c>
    </row>
    <row r="33" ht="20" customHeight="1">
      <c r="A33" s="36" t="inlineStr">
        <is>
          <t>DRK-671</t>
        </is>
      </c>
      <c r="B33" s="37" t="inlineStr">
        <is>
          <t>Hot Dirty Oreo</t>
        </is>
      </c>
      <c r="C33" s="38" t="inlineStr">
        <is>
          <t>Hot Coffee</t>
        </is>
      </c>
      <c r="D33" s="39" t="inlineStr">
        <is>
          <t>cups</t>
        </is>
      </c>
      <c r="E33" s="69" t="n">
        <v>105</v>
      </c>
      <c r="F33" s="41" t="n">
        <v>9999</v>
      </c>
      <c r="G33" s="42" t="n">
        <v>9999</v>
      </c>
      <c r="H33" s="45">
        <f>F33-G33</f>
        <v/>
      </c>
      <c r="I33" s="71">
        <f>H33*E33</f>
        <v/>
      </c>
    </row>
    <row r="34" ht="20" customHeight="1">
      <c r="A34" s="27" t="inlineStr">
        <is>
          <t>DRK-672</t>
        </is>
      </c>
      <c r="B34" s="28" t="inlineStr">
        <is>
          <t>Hot Dirty Oreo</t>
        </is>
      </c>
      <c r="C34" s="29" t="inlineStr">
        <is>
          <t>Hot Coffee</t>
        </is>
      </c>
      <c r="D34" s="30" t="inlineStr">
        <is>
          <t>cups</t>
        </is>
      </c>
      <c r="E34" s="68" t="n">
        <v>149</v>
      </c>
      <c r="F34" s="32" t="n">
        <v>9999</v>
      </c>
      <c r="G34" s="33" t="n">
        <v>9999</v>
      </c>
      <c r="H34" s="45">
        <f>F34-G34</f>
        <v/>
      </c>
      <c r="I34" s="70">
        <f>H34*E34</f>
        <v/>
      </c>
    </row>
    <row r="35" ht="20" customHeight="1">
      <c r="A35" s="36" t="inlineStr">
        <is>
          <t>DRK-673</t>
        </is>
      </c>
      <c r="B35" s="37" t="inlineStr">
        <is>
          <t>Hot Dirty Oreo</t>
        </is>
      </c>
      <c r="C35" s="38" t="inlineStr">
        <is>
          <t>Hot Coffee</t>
        </is>
      </c>
      <c r="D35" s="39" t="inlineStr">
        <is>
          <t>cups</t>
        </is>
      </c>
      <c r="E35" s="69" t="n">
        <v>149</v>
      </c>
      <c r="F35" s="41" t="n">
        <v>9999</v>
      </c>
      <c r="G35" s="42" t="n">
        <v>9999</v>
      </c>
      <c r="H35" s="45">
        <f>F35-G35</f>
        <v/>
      </c>
      <c r="I35" s="71">
        <f>H35*E35</f>
        <v/>
      </c>
    </row>
    <row r="36" ht="20" customHeight="1">
      <c r="A36" s="27" t="inlineStr">
        <is>
          <t>DRK-485</t>
        </is>
      </c>
      <c r="B36" s="28" t="inlineStr">
        <is>
          <t>Hot Butterscotch (Small)</t>
        </is>
      </c>
      <c r="C36" s="29" t="inlineStr">
        <is>
          <t>Hot Coffee</t>
        </is>
      </c>
      <c r="D36" s="30" t="inlineStr">
        <is>
          <t>cups</t>
        </is>
      </c>
      <c r="E36" s="68" t="n">
        <v>105</v>
      </c>
      <c r="F36" s="32" t="n">
        <v>9999</v>
      </c>
      <c r="G36" s="33" t="n">
        <v>9999</v>
      </c>
      <c r="H36" s="45">
        <f>F36-G36</f>
        <v/>
      </c>
      <c r="I36" s="70">
        <f>H36*E36</f>
        <v/>
      </c>
    </row>
    <row r="37" ht="20" customHeight="1">
      <c r="A37" s="36" t="inlineStr">
        <is>
          <t>DRK-486</t>
        </is>
      </c>
      <c r="B37" s="37" t="inlineStr">
        <is>
          <t>Hot Butterscotch (Large)</t>
        </is>
      </c>
      <c r="C37" s="38" t="inlineStr">
        <is>
          <t>Hot Coffee</t>
        </is>
      </c>
      <c r="D37" s="39" t="inlineStr">
        <is>
          <t>cups</t>
        </is>
      </c>
      <c r="E37" s="69" t="n">
        <v>149</v>
      </c>
      <c r="F37" s="41" t="n">
        <v>9999</v>
      </c>
      <c r="G37" s="42" t="n">
        <v>9999</v>
      </c>
      <c r="H37" s="45">
        <f>F37-G37</f>
        <v/>
      </c>
      <c r="I37" s="71">
        <f>H37*E37</f>
        <v/>
      </c>
    </row>
    <row r="38" ht="20" customHeight="1">
      <c r="A38" s="27" t="inlineStr">
        <is>
          <t>DRK-580</t>
        </is>
      </c>
      <c r="B38" s="28" t="inlineStr">
        <is>
          <t>Hot Irish Cream (Small)</t>
        </is>
      </c>
      <c r="C38" s="29" t="inlineStr">
        <is>
          <t>Hot Coffee</t>
        </is>
      </c>
      <c r="D38" s="30" t="inlineStr">
        <is>
          <t>cups</t>
        </is>
      </c>
      <c r="E38" s="68" t="n">
        <v>105</v>
      </c>
      <c r="F38" s="32" t="n">
        <v>9999</v>
      </c>
      <c r="G38" s="33" t="n">
        <v>9999</v>
      </c>
      <c r="H38" s="45">
        <f>F38-G38</f>
        <v/>
      </c>
      <c r="I38" s="70">
        <f>H38*E38</f>
        <v/>
      </c>
    </row>
    <row r="39" ht="20" customHeight="1">
      <c r="A39" s="36" t="inlineStr">
        <is>
          <t>DRK-581</t>
        </is>
      </c>
      <c r="B39" s="37" t="inlineStr">
        <is>
          <t>Hot Irish Cream (Large)</t>
        </is>
      </c>
      <c r="C39" s="38" t="inlineStr">
        <is>
          <t>Hot Coffee</t>
        </is>
      </c>
      <c r="D39" s="39" t="inlineStr">
        <is>
          <t>cups</t>
        </is>
      </c>
      <c r="E39" s="69" t="n">
        <v>149</v>
      </c>
      <c r="F39" s="41" t="n">
        <v>9999</v>
      </c>
      <c r="G39" s="42" t="n">
        <v>9999</v>
      </c>
      <c r="H39" s="45">
        <f>F39-G39</f>
        <v/>
      </c>
      <c r="I39" s="71">
        <f>H39*E39</f>
        <v/>
      </c>
    </row>
    <row r="40" ht="20" customHeight="1">
      <c r="A40" s="27" t="inlineStr">
        <is>
          <t>DRK-470</t>
        </is>
      </c>
      <c r="B40" s="28" t="inlineStr">
        <is>
          <t>Hot Americano (Large)</t>
        </is>
      </c>
      <c r="C40" s="29" t="inlineStr">
        <is>
          <t>Hot Coffee</t>
        </is>
      </c>
      <c r="D40" s="30" t="inlineStr">
        <is>
          <t>cups</t>
        </is>
      </c>
      <c r="E40" s="68" t="n">
        <v>120</v>
      </c>
      <c r="F40" s="32" t="n">
        <v>9999</v>
      </c>
      <c r="G40" s="33" t="n">
        <v>9999</v>
      </c>
      <c r="H40" s="45">
        <f>F40-G40</f>
        <v/>
      </c>
      <c r="I40" s="70">
        <f>H40*E40</f>
        <v/>
      </c>
    </row>
    <row r="41" ht="20" customHeight="1">
      <c r="A41" s="36" t="inlineStr">
        <is>
          <t>DRK-490</t>
        </is>
      </c>
      <c r="B41" s="37" t="inlineStr">
        <is>
          <t>Hot French Vanilla (Large)</t>
        </is>
      </c>
      <c r="C41" s="38" t="inlineStr">
        <is>
          <t>Hot Coffee</t>
        </is>
      </c>
      <c r="D41" s="39" t="inlineStr">
        <is>
          <t>cups</t>
        </is>
      </c>
      <c r="E41" s="69" t="n">
        <v>149</v>
      </c>
      <c r="F41" s="41" t="n">
        <v>9999</v>
      </c>
      <c r="G41" s="42" t="n">
        <v>9999</v>
      </c>
      <c r="H41" s="45">
        <f>F41-G41</f>
        <v/>
      </c>
      <c r="I41" s="71">
        <f>H41*E41</f>
        <v/>
      </c>
    </row>
    <row r="42" ht="20" customHeight="1">
      <c r="A42" s="27" t="inlineStr">
        <is>
          <t>DRK-494</t>
        </is>
      </c>
      <c r="B42" s="28" t="inlineStr">
        <is>
          <t>Hot Caramel Macchiato (Large)</t>
        </is>
      </c>
      <c r="C42" s="29" t="inlineStr">
        <is>
          <t>Hot Coffee</t>
        </is>
      </c>
      <c r="D42" s="30" t="inlineStr">
        <is>
          <t>cups</t>
        </is>
      </c>
      <c r="E42" s="68" t="n">
        <v>149</v>
      </c>
      <c r="F42" s="32" t="n">
        <v>9999</v>
      </c>
      <c r="G42" s="33" t="n">
        <v>9999</v>
      </c>
      <c r="H42" s="45">
        <f>F42-G42</f>
        <v/>
      </c>
      <c r="I42" s="70">
        <f>H42*E42</f>
        <v/>
      </c>
    </row>
    <row r="43" ht="22" customHeight="1">
      <c r="A43" s="46" t="inlineStr">
        <is>
          <t>Subtotal — Hot Coffee Sales:</t>
        </is>
      </c>
      <c r="B43" s="47" t="n"/>
      <c r="C43" s="47" t="n"/>
      <c r="D43" s="47" t="n"/>
      <c r="E43" s="47" t="n"/>
      <c r="F43" s="47" t="n"/>
      <c r="G43" s="47" t="n"/>
      <c r="H43" s="48">
        <f>SUM(H6:H42)</f>
        <v/>
      </c>
      <c r="I43" s="72">
        <f>SUM(I6:I42)</f>
        <v/>
      </c>
    </row>
    <row r="44" ht="24" customHeight="1">
      <c r="A44" s="50" t="inlineStr">
        <is>
          <t>🧊  CATEGORY: ICED &amp; BLENDED (25 Beverages)</t>
        </is>
      </c>
    </row>
    <row r="45" ht="20" customHeight="1">
      <c r="A45" s="36" t="inlineStr">
        <is>
          <t>DRK-583</t>
        </is>
      </c>
      <c r="B45" s="37" t="inlineStr">
        <is>
          <t>Iced Sea Salt Biscoff</t>
        </is>
      </c>
      <c r="C45" s="38" t="inlineStr">
        <is>
          <t>Iced &amp; Blended</t>
        </is>
      </c>
      <c r="D45" s="39" t="inlineStr">
        <is>
          <t>cups</t>
        </is>
      </c>
      <c r="E45" s="69" t="n">
        <v>149</v>
      </c>
      <c r="F45" s="41" t="n">
        <v>9999</v>
      </c>
      <c r="G45" s="42" t="n">
        <v>9890</v>
      </c>
      <c r="H45" s="34">
        <f>F45-G45</f>
        <v/>
      </c>
      <c r="I45" s="71">
        <f>H45*E45</f>
        <v/>
      </c>
    </row>
    <row r="46" ht="20" customHeight="1">
      <c r="A46" s="27" t="inlineStr">
        <is>
          <t>DRK-472</t>
        </is>
      </c>
      <c r="B46" s="28" t="inlineStr">
        <is>
          <t xml:space="preserve">Iced Americano </t>
        </is>
      </c>
      <c r="C46" s="29" t="inlineStr">
        <is>
          <t>Iced &amp; Blended</t>
        </is>
      </c>
      <c r="D46" s="30" t="inlineStr">
        <is>
          <t>cups</t>
        </is>
      </c>
      <c r="E46" s="68" t="n">
        <v>120</v>
      </c>
      <c r="F46" s="32" t="n">
        <v>9999</v>
      </c>
      <c r="G46" s="33" t="n">
        <v>9963</v>
      </c>
      <c r="H46" s="34">
        <f>F46-G46</f>
        <v/>
      </c>
      <c r="I46" s="70">
        <f>H46*E46</f>
        <v/>
      </c>
    </row>
    <row r="47" ht="20" customHeight="1">
      <c r="A47" s="36" t="inlineStr">
        <is>
          <t>DRK-484</t>
        </is>
      </c>
      <c r="B47" s="37" t="inlineStr">
        <is>
          <t>Iced Macadamia Latte (Large)</t>
        </is>
      </c>
      <c r="C47" s="38" t="inlineStr">
        <is>
          <t>Iced &amp; Blended</t>
        </is>
      </c>
      <c r="D47" s="39" t="inlineStr">
        <is>
          <t>cups</t>
        </is>
      </c>
      <c r="E47" s="69" t="n">
        <v>149</v>
      </c>
      <c r="F47" s="41" t="n">
        <v>9999</v>
      </c>
      <c r="G47" s="42" t="n">
        <v>9973</v>
      </c>
      <c r="H47" s="34">
        <f>F47-G47</f>
        <v/>
      </c>
      <c r="I47" s="71">
        <f>H47*E47</f>
        <v/>
      </c>
    </row>
    <row r="48" ht="20" customHeight="1">
      <c r="A48" s="27" t="inlineStr">
        <is>
          <t>DRK-500</t>
        </is>
      </c>
      <c r="B48" s="28" t="inlineStr">
        <is>
          <t>Iced Spanish Latte</t>
        </is>
      </c>
      <c r="C48" s="29" t="inlineStr">
        <is>
          <t>Iced &amp; Blended</t>
        </is>
      </c>
      <c r="D48" s="30" t="inlineStr">
        <is>
          <t>cups</t>
        </is>
      </c>
      <c r="E48" s="68" t="n">
        <v>149</v>
      </c>
      <c r="F48" s="32" t="n">
        <v>9999</v>
      </c>
      <c r="G48" s="33" t="n">
        <v>9975</v>
      </c>
      <c r="H48" s="34">
        <f>F48-G48</f>
        <v/>
      </c>
      <c r="I48" s="70">
        <f>H48*E48</f>
        <v/>
      </c>
    </row>
    <row r="49" ht="20" customHeight="1">
      <c r="A49" s="36" t="inlineStr">
        <is>
          <t>DRK-496</t>
        </is>
      </c>
      <c r="B49" s="37" t="inlineStr">
        <is>
          <t xml:space="preserve">Iced Caramel Macchiato </t>
        </is>
      </c>
      <c r="C49" s="38" t="inlineStr">
        <is>
          <t>Iced &amp; Blended</t>
        </is>
      </c>
      <c r="D49" s="39" t="inlineStr">
        <is>
          <t>cups</t>
        </is>
      </c>
      <c r="E49" s="69" t="n">
        <v>149</v>
      </c>
      <c r="F49" s="41" t="n">
        <v>9999</v>
      </c>
      <c r="G49" s="42" t="n">
        <v>9986</v>
      </c>
      <c r="H49" s="44">
        <f>F49-G49</f>
        <v/>
      </c>
      <c r="I49" s="71">
        <f>H49*E49</f>
        <v/>
      </c>
    </row>
    <row r="50" ht="20" customHeight="1">
      <c r="A50" s="27" t="inlineStr">
        <is>
          <t>DRK-585</t>
        </is>
      </c>
      <c r="B50" s="28" t="inlineStr">
        <is>
          <t>Iced Irish Cream</t>
        </is>
      </c>
      <c r="C50" s="29" t="inlineStr">
        <is>
          <t>Iced &amp; Blended</t>
        </is>
      </c>
      <c r="D50" s="30" t="inlineStr">
        <is>
          <t>cups</t>
        </is>
      </c>
      <c r="E50" s="68" t="n">
        <v>149</v>
      </c>
      <c r="F50" s="32" t="n">
        <v>9999</v>
      </c>
      <c r="G50" s="33" t="n">
        <v>9988</v>
      </c>
      <c r="H50" s="44">
        <f>F50-G50</f>
        <v/>
      </c>
      <c r="I50" s="70">
        <f>H50*E50</f>
        <v/>
      </c>
    </row>
    <row r="51" ht="20" customHeight="1">
      <c r="A51" s="36" t="inlineStr">
        <is>
          <t>DRK-480</t>
        </is>
      </c>
      <c r="B51" s="37" t="inlineStr">
        <is>
          <t>Iced Latte (Large)</t>
        </is>
      </c>
      <c r="C51" s="38" t="inlineStr">
        <is>
          <t>Iced &amp; Blended</t>
        </is>
      </c>
      <c r="D51" s="39" t="inlineStr">
        <is>
          <t>cups</t>
        </is>
      </c>
      <c r="E51" s="69" t="n">
        <v>149</v>
      </c>
      <c r="F51" s="41" t="n">
        <v>9999</v>
      </c>
      <c r="G51" s="42" t="n">
        <v>9989</v>
      </c>
      <c r="H51" s="44">
        <f>F51-G51</f>
        <v/>
      </c>
      <c r="I51" s="71">
        <f>H51*E51</f>
        <v/>
      </c>
    </row>
    <row r="52" ht="20" customHeight="1">
      <c r="A52" s="27" t="inlineStr">
        <is>
          <t>DRK-584</t>
        </is>
      </c>
      <c r="B52" s="28" t="inlineStr">
        <is>
          <t>Iced Oreo Milk</t>
        </is>
      </c>
      <c r="C52" s="29" t="inlineStr">
        <is>
          <t>Iced &amp; Blended</t>
        </is>
      </c>
      <c r="D52" s="30" t="inlineStr">
        <is>
          <t>cups</t>
        </is>
      </c>
      <c r="E52" s="68" t="n">
        <v>149</v>
      </c>
      <c r="F52" s="32" t="n">
        <v>9999</v>
      </c>
      <c r="G52" s="33" t="n">
        <v>9992</v>
      </c>
      <c r="H52" s="44">
        <f>F52-G52</f>
        <v/>
      </c>
      <c r="I52" s="70">
        <f>H52*E52</f>
        <v/>
      </c>
    </row>
    <row r="53" ht="20" customHeight="1">
      <c r="A53" s="36" t="inlineStr">
        <is>
          <t>DRK-476</t>
        </is>
      </c>
      <c r="B53" s="37" t="inlineStr">
        <is>
          <t>Iced Mocha</t>
        </is>
      </c>
      <c r="C53" s="38" t="inlineStr">
        <is>
          <t>Iced &amp; Blended</t>
        </is>
      </c>
      <c r="D53" s="39" t="inlineStr">
        <is>
          <t>cups</t>
        </is>
      </c>
      <c r="E53" s="69" t="n">
        <v>149</v>
      </c>
      <c r="F53" s="41" t="n">
        <v>9999</v>
      </c>
      <c r="G53" s="42" t="n">
        <v>9994</v>
      </c>
      <c r="H53" s="44">
        <f>F53-G53</f>
        <v/>
      </c>
      <c r="I53" s="71">
        <f>H53*E53</f>
        <v/>
      </c>
    </row>
    <row r="54" ht="20" customHeight="1">
      <c r="A54" s="27" t="inlineStr">
        <is>
          <t>DRK-586</t>
        </is>
      </c>
      <c r="B54" s="28" t="inlineStr">
        <is>
          <t>Iced Biscoff Mango</t>
        </is>
      </c>
      <c r="C54" s="29" t="inlineStr">
        <is>
          <t>Iced &amp; Blended</t>
        </is>
      </c>
      <c r="D54" s="30" t="inlineStr">
        <is>
          <t>cups</t>
        </is>
      </c>
      <c r="E54" s="68" t="n">
        <v>149</v>
      </c>
      <c r="F54" s="32" t="n">
        <v>9999</v>
      </c>
      <c r="G54" s="33" t="n">
        <v>9996</v>
      </c>
      <c r="H54" s="44">
        <f>F54-G54</f>
        <v/>
      </c>
      <c r="I54" s="70">
        <f>H54*E54</f>
        <v/>
      </c>
    </row>
    <row r="55" ht="20" customHeight="1">
      <c r="A55" s="36" t="inlineStr">
        <is>
          <t>DRK-582</t>
        </is>
      </c>
      <c r="B55" s="37" t="inlineStr">
        <is>
          <t>Dirty Oreo</t>
        </is>
      </c>
      <c r="C55" s="38" t="inlineStr">
        <is>
          <t>Iced &amp; Blended</t>
        </is>
      </c>
      <c r="D55" s="39" t="inlineStr">
        <is>
          <t>cups</t>
        </is>
      </c>
      <c r="E55" s="69" t="n">
        <v>149</v>
      </c>
      <c r="F55" s="41" t="n">
        <v>9999</v>
      </c>
      <c r="G55" s="42" t="n">
        <v>9997</v>
      </c>
      <c r="H55" s="44">
        <f>F55-G55</f>
        <v/>
      </c>
      <c r="I55" s="71">
        <f>H55*E55</f>
        <v/>
      </c>
    </row>
    <row r="56" ht="20" customHeight="1">
      <c r="A56" s="27" t="inlineStr">
        <is>
          <t>DRK-508</t>
        </is>
      </c>
      <c r="B56" s="28" t="inlineStr">
        <is>
          <t>Iced White Chocolate Latte</t>
        </is>
      </c>
      <c r="C56" s="29" t="inlineStr">
        <is>
          <t>Iced &amp; Blended</t>
        </is>
      </c>
      <c r="D56" s="30" t="inlineStr">
        <is>
          <t>cups</t>
        </is>
      </c>
      <c r="E56" s="68" t="n">
        <v>149</v>
      </c>
      <c r="F56" s="32" t="n">
        <v>9999</v>
      </c>
      <c r="G56" s="33" t="n">
        <v>9998</v>
      </c>
      <c r="H56" s="44">
        <f>F56-G56</f>
        <v/>
      </c>
      <c r="I56" s="70">
        <f>H56*E56</f>
        <v/>
      </c>
    </row>
    <row r="57" ht="20" customHeight="1">
      <c r="A57" s="36" t="inlineStr">
        <is>
          <t>DRK-507</t>
        </is>
      </c>
      <c r="B57" s="37" t="inlineStr">
        <is>
          <t>Iced White Chocolate Latte (Small)</t>
        </is>
      </c>
      <c r="C57" s="38" t="inlineStr">
        <is>
          <t>Iced &amp; Blended</t>
        </is>
      </c>
      <c r="D57" s="39" t="inlineStr">
        <is>
          <t>cups</t>
        </is>
      </c>
      <c r="E57" s="69" t="n">
        <v>105</v>
      </c>
      <c r="F57" s="41" t="n">
        <v>9999</v>
      </c>
      <c r="G57" s="42" t="n">
        <v>9999</v>
      </c>
      <c r="H57" s="45">
        <f>F57-G57</f>
        <v/>
      </c>
      <c r="I57" s="71">
        <f>H57*E57</f>
        <v/>
      </c>
    </row>
    <row r="58" ht="20" customHeight="1">
      <c r="A58" s="27" t="inlineStr">
        <is>
          <t>DRK-471</t>
        </is>
      </c>
      <c r="B58" s="28" t="inlineStr">
        <is>
          <t>Iced Americano (Small)</t>
        </is>
      </c>
      <c r="C58" s="29" t="inlineStr">
        <is>
          <t>Iced &amp; Blended</t>
        </is>
      </c>
      <c r="D58" s="30" t="inlineStr">
        <is>
          <t>cups</t>
        </is>
      </c>
      <c r="E58" s="68" t="n">
        <v>105</v>
      </c>
      <c r="F58" s="32" t="n">
        <v>9999</v>
      </c>
      <c r="G58" s="33" t="n">
        <v>9999</v>
      </c>
      <c r="H58" s="45">
        <f>F58-G58</f>
        <v/>
      </c>
      <c r="I58" s="70">
        <f>H58*E58</f>
        <v/>
      </c>
    </row>
    <row r="59" ht="20" customHeight="1">
      <c r="A59" s="36" t="inlineStr">
        <is>
          <t>DRK-491</t>
        </is>
      </c>
      <c r="B59" s="37" t="inlineStr">
        <is>
          <t>Iced French Vanilla (Small)</t>
        </is>
      </c>
      <c r="C59" s="38" t="inlineStr">
        <is>
          <t>Iced &amp; Blended</t>
        </is>
      </c>
      <c r="D59" s="39" t="inlineStr">
        <is>
          <t>cups</t>
        </is>
      </c>
      <c r="E59" s="69" t="n">
        <v>105</v>
      </c>
      <c r="F59" s="41" t="n">
        <v>9999</v>
      </c>
      <c r="G59" s="42" t="n">
        <v>9999</v>
      </c>
      <c r="H59" s="45">
        <f>F59-G59</f>
        <v/>
      </c>
      <c r="I59" s="71">
        <f>H59*E59</f>
        <v/>
      </c>
    </row>
    <row r="60" ht="20" customHeight="1">
      <c r="A60" s="27" t="inlineStr">
        <is>
          <t>DRK-503</t>
        </is>
      </c>
      <c r="B60" s="28" t="inlineStr">
        <is>
          <t>Iced Cappuccino (Small)</t>
        </is>
      </c>
      <c r="C60" s="29" t="inlineStr">
        <is>
          <t>Iced &amp; Blended</t>
        </is>
      </c>
      <c r="D60" s="30" t="inlineStr">
        <is>
          <t>cups</t>
        </is>
      </c>
      <c r="E60" s="68" t="n">
        <v>105</v>
      </c>
      <c r="F60" s="32" t="n">
        <v>9999</v>
      </c>
      <c r="G60" s="33" t="n">
        <v>9999</v>
      </c>
      <c r="H60" s="45">
        <f>F60-G60</f>
        <v/>
      </c>
      <c r="I60" s="70">
        <f>H60*E60</f>
        <v/>
      </c>
    </row>
    <row r="61" ht="20" customHeight="1">
      <c r="A61" s="36" t="inlineStr">
        <is>
          <t>DRK-475</t>
        </is>
      </c>
      <c r="B61" s="37" t="inlineStr">
        <is>
          <t>Iced Mocha (Small)</t>
        </is>
      </c>
      <c r="C61" s="38" t="inlineStr">
        <is>
          <t>Iced &amp; Blended</t>
        </is>
      </c>
      <c r="D61" s="39" t="inlineStr">
        <is>
          <t>cups</t>
        </is>
      </c>
      <c r="E61" s="69" t="n">
        <v>105</v>
      </c>
      <c r="F61" s="41" t="n">
        <v>9999</v>
      </c>
      <c r="G61" s="42" t="n">
        <v>9999</v>
      </c>
      <c r="H61" s="45">
        <f>F61-G61</f>
        <v/>
      </c>
      <c r="I61" s="71">
        <f>H61*E61</f>
        <v/>
      </c>
    </row>
    <row r="62" ht="20" customHeight="1">
      <c r="A62" s="27" t="inlineStr">
        <is>
          <t>DRK-479</t>
        </is>
      </c>
      <c r="B62" s="28" t="inlineStr">
        <is>
          <t>Iced Latte (Small)</t>
        </is>
      </c>
      <c r="C62" s="29" t="inlineStr">
        <is>
          <t>Iced &amp; Blended</t>
        </is>
      </c>
      <c r="D62" s="30" t="inlineStr">
        <is>
          <t>cups</t>
        </is>
      </c>
      <c r="E62" s="68" t="n">
        <v>105</v>
      </c>
      <c r="F62" s="32" t="n">
        <v>9999</v>
      </c>
      <c r="G62" s="33" t="n">
        <v>9999</v>
      </c>
      <c r="H62" s="45">
        <f>F62-G62</f>
        <v/>
      </c>
      <c r="I62" s="70">
        <f>H62*E62</f>
        <v/>
      </c>
    </row>
    <row r="63" ht="20" customHeight="1">
      <c r="A63" s="36" t="inlineStr">
        <is>
          <t>DRK-487</t>
        </is>
      </c>
      <c r="B63" s="37" t="inlineStr">
        <is>
          <t>Iced Butterscotch (Small)</t>
        </is>
      </c>
      <c r="C63" s="38" t="inlineStr">
        <is>
          <t>Iced &amp; Blended</t>
        </is>
      </c>
      <c r="D63" s="39" t="inlineStr">
        <is>
          <t>cups</t>
        </is>
      </c>
      <c r="E63" s="69" t="n">
        <v>105</v>
      </c>
      <c r="F63" s="41" t="n">
        <v>9999</v>
      </c>
      <c r="G63" s="42" t="n">
        <v>9999</v>
      </c>
      <c r="H63" s="45">
        <f>F63-G63</f>
        <v/>
      </c>
      <c r="I63" s="71">
        <f>H63*E63</f>
        <v/>
      </c>
    </row>
    <row r="64" ht="20" customHeight="1">
      <c r="A64" s="27" t="inlineStr">
        <is>
          <t>DRK-488</t>
        </is>
      </c>
      <c r="B64" s="28" t="inlineStr">
        <is>
          <t>Iced Butterscotch</t>
        </is>
      </c>
      <c r="C64" s="29" t="inlineStr">
        <is>
          <t>Iced &amp; Blended</t>
        </is>
      </c>
      <c r="D64" s="30" t="inlineStr">
        <is>
          <t>cups</t>
        </is>
      </c>
      <c r="E64" s="68" t="n">
        <v>149</v>
      </c>
      <c r="F64" s="32" t="n">
        <v>9999</v>
      </c>
      <c r="G64" s="33" t="n">
        <v>9999</v>
      </c>
      <c r="H64" s="45">
        <f>F64-G64</f>
        <v/>
      </c>
      <c r="I64" s="70">
        <f>H64*E64</f>
        <v/>
      </c>
    </row>
    <row r="65" ht="20" customHeight="1">
      <c r="A65" s="36" t="inlineStr">
        <is>
          <t>DRK-483</t>
        </is>
      </c>
      <c r="B65" s="37" t="inlineStr">
        <is>
          <t>Iced Macadamia Latte (Small)</t>
        </is>
      </c>
      <c r="C65" s="38" t="inlineStr">
        <is>
          <t>Iced &amp; Blended</t>
        </is>
      </c>
      <c r="D65" s="39" t="inlineStr">
        <is>
          <t>cups</t>
        </is>
      </c>
      <c r="E65" s="69" t="n">
        <v>105</v>
      </c>
      <c r="F65" s="41" t="n">
        <v>9999</v>
      </c>
      <c r="G65" s="42" t="n">
        <v>9999</v>
      </c>
      <c r="H65" s="45">
        <f>F65-G65</f>
        <v/>
      </c>
      <c r="I65" s="71">
        <f>H65*E65</f>
        <v/>
      </c>
    </row>
    <row r="66" ht="20" customHeight="1">
      <c r="A66" s="27" t="inlineStr">
        <is>
          <t>DRK-492</t>
        </is>
      </c>
      <c r="B66" s="28" t="inlineStr">
        <is>
          <t xml:space="preserve">Iced French Vanilla </t>
        </is>
      </c>
      <c r="C66" s="29" t="inlineStr">
        <is>
          <t>Iced &amp; Blended</t>
        </is>
      </c>
      <c r="D66" s="30" t="inlineStr">
        <is>
          <t>cups</t>
        </is>
      </c>
      <c r="E66" s="68" t="n">
        <v>149</v>
      </c>
      <c r="F66" s="32" t="n">
        <v>9999</v>
      </c>
      <c r="G66" s="33" t="n">
        <v>9999</v>
      </c>
      <c r="H66" s="45">
        <f>F66-G66</f>
        <v/>
      </c>
      <c r="I66" s="70">
        <f>H66*E66</f>
        <v/>
      </c>
    </row>
    <row r="67" ht="20" customHeight="1">
      <c r="A67" s="36" t="inlineStr">
        <is>
          <t>DRK-495</t>
        </is>
      </c>
      <c r="B67" s="37" t="inlineStr">
        <is>
          <t>Iced Caramel Macchiato (Small)</t>
        </is>
      </c>
      <c r="C67" s="38" t="inlineStr">
        <is>
          <t>Iced &amp; Blended</t>
        </is>
      </c>
      <c r="D67" s="39" t="inlineStr">
        <is>
          <t>cups</t>
        </is>
      </c>
      <c r="E67" s="69" t="n">
        <v>105</v>
      </c>
      <c r="F67" s="41" t="n">
        <v>9999</v>
      </c>
      <c r="G67" s="42" t="n">
        <v>9999</v>
      </c>
      <c r="H67" s="45">
        <f>F67-G67</f>
        <v/>
      </c>
      <c r="I67" s="71">
        <f>H67*E67</f>
        <v/>
      </c>
    </row>
    <row r="68" ht="20" customHeight="1">
      <c r="A68" s="27" t="inlineStr">
        <is>
          <t>DRK-499</t>
        </is>
      </c>
      <c r="B68" s="28" t="inlineStr">
        <is>
          <t>Iced Spanish Latte (Small)</t>
        </is>
      </c>
      <c r="C68" s="29" t="inlineStr">
        <is>
          <t>Iced &amp; Blended</t>
        </is>
      </c>
      <c r="D68" s="30" t="inlineStr">
        <is>
          <t>cups</t>
        </is>
      </c>
      <c r="E68" s="68" t="n">
        <v>105</v>
      </c>
      <c r="F68" s="32" t="n">
        <v>9999</v>
      </c>
      <c r="G68" s="33" t="n">
        <v>9999</v>
      </c>
      <c r="H68" s="45">
        <f>F68-G68</f>
        <v/>
      </c>
      <c r="I68" s="70">
        <f>H68*E68</f>
        <v/>
      </c>
    </row>
    <row r="69" ht="20" customHeight="1">
      <c r="A69" s="36" t="inlineStr">
        <is>
          <t>DRK-504</t>
        </is>
      </c>
      <c r="B69" s="37" t="inlineStr">
        <is>
          <t>Iced Cappuccino</t>
        </is>
      </c>
      <c r="C69" s="38" t="inlineStr">
        <is>
          <t>Iced &amp; Blended</t>
        </is>
      </c>
      <c r="D69" s="39" t="inlineStr">
        <is>
          <t>cups</t>
        </is>
      </c>
      <c r="E69" s="69" t="n">
        <v>149</v>
      </c>
      <c r="F69" s="41" t="n">
        <v>9999</v>
      </c>
      <c r="G69" s="42" t="n">
        <v>9999</v>
      </c>
      <c r="H69" s="45">
        <f>F69-G69</f>
        <v/>
      </c>
      <c r="I69" s="71">
        <f>H69*E69</f>
        <v/>
      </c>
    </row>
    <row r="70" ht="22" customHeight="1">
      <c r="A70" s="46" t="inlineStr">
        <is>
          <t>Subtotal — Iced &amp; Blended Sales:</t>
        </is>
      </c>
      <c r="B70" s="47" t="n"/>
      <c r="C70" s="47" t="n"/>
      <c r="D70" s="47" t="n"/>
      <c r="E70" s="47" t="n"/>
      <c r="F70" s="47" t="n"/>
      <c r="G70" s="47" t="n"/>
      <c r="H70" s="48">
        <f>SUM(H45:H69)</f>
        <v/>
      </c>
      <c r="I70" s="72">
        <f>SUM(I45:I69)</f>
        <v/>
      </c>
    </row>
    <row r="71" ht="24" customHeight="1">
      <c r="A71" s="51" t="inlineStr">
        <is>
          <t>🫧  CATEGORY: SODA BASED (5 Beverages)</t>
        </is>
      </c>
    </row>
    <row r="72" ht="20" customHeight="1">
      <c r="A72" s="27" t="inlineStr">
        <is>
          <t>DRK-510</t>
        </is>
      </c>
      <c r="B72" s="28" t="inlineStr">
        <is>
          <t>Mango (16 oz)</t>
        </is>
      </c>
      <c r="C72" s="29" t="inlineStr">
        <is>
          <t>Soda Based</t>
        </is>
      </c>
      <c r="D72" s="30" t="inlineStr">
        <is>
          <t>cups</t>
        </is>
      </c>
      <c r="E72" s="68" t="n">
        <v>129</v>
      </c>
      <c r="F72" s="32" t="n">
        <v>9999</v>
      </c>
      <c r="G72" s="33" t="n">
        <v>9974</v>
      </c>
      <c r="H72" s="34">
        <f>F72-G72</f>
        <v/>
      </c>
      <c r="I72" s="70">
        <f>H72*E72</f>
        <v/>
      </c>
    </row>
    <row r="73" ht="20" customHeight="1">
      <c r="A73" s="36" t="inlineStr">
        <is>
          <t>DRK-509</t>
        </is>
      </c>
      <c r="B73" s="37" t="inlineStr">
        <is>
          <t>Pink Guava (16 oz)</t>
        </is>
      </c>
      <c r="C73" s="38" t="inlineStr">
        <is>
          <t>Soda Based</t>
        </is>
      </c>
      <c r="D73" s="39" t="inlineStr">
        <is>
          <t>cups</t>
        </is>
      </c>
      <c r="E73" s="69" t="n">
        <v>129</v>
      </c>
      <c r="F73" s="41" t="n">
        <v>9999</v>
      </c>
      <c r="G73" s="42" t="n">
        <v>9976</v>
      </c>
      <c r="H73" s="34">
        <f>F73-G73</f>
        <v/>
      </c>
      <c r="I73" s="71">
        <f>H73*E73</f>
        <v/>
      </c>
    </row>
    <row r="74" ht="20" customHeight="1">
      <c r="A74" s="27" t="inlineStr">
        <is>
          <t>DRK-513</t>
        </is>
      </c>
      <c r="B74" s="28" t="inlineStr">
        <is>
          <t>Pink Guava &amp; Pomegranate (16 oz)</t>
        </is>
      </c>
      <c r="C74" s="29" t="inlineStr">
        <is>
          <t>Soda Based</t>
        </is>
      </c>
      <c r="D74" s="30" t="inlineStr">
        <is>
          <t>cups</t>
        </is>
      </c>
      <c r="E74" s="68" t="n">
        <v>129</v>
      </c>
      <c r="F74" s="32" t="n">
        <v>9999</v>
      </c>
      <c r="G74" s="33" t="n">
        <v>9979</v>
      </c>
      <c r="H74" s="34">
        <f>F74-G74</f>
        <v/>
      </c>
      <c r="I74" s="70">
        <f>H74*E74</f>
        <v/>
      </c>
    </row>
    <row r="75" ht="20" customHeight="1">
      <c r="A75" s="36" t="inlineStr">
        <is>
          <t>DRK-511</t>
        </is>
      </c>
      <c r="B75" s="37" t="inlineStr">
        <is>
          <t>Pomegranate (16 oz)</t>
        </is>
      </c>
      <c r="C75" s="38" t="inlineStr">
        <is>
          <t>Soda Based</t>
        </is>
      </c>
      <c r="D75" s="39" t="inlineStr">
        <is>
          <t>cups</t>
        </is>
      </c>
      <c r="E75" s="69" t="n">
        <v>129</v>
      </c>
      <c r="F75" s="41" t="n">
        <v>9999</v>
      </c>
      <c r="G75" s="42" t="n">
        <v>9991</v>
      </c>
      <c r="H75" s="44">
        <f>F75-G75</f>
        <v/>
      </c>
      <c r="I75" s="71">
        <f>H75*E75</f>
        <v/>
      </c>
    </row>
    <row r="76" ht="20" customHeight="1">
      <c r="A76" s="27" t="inlineStr">
        <is>
          <t>DRK-512</t>
        </is>
      </c>
      <c r="B76" s="28" t="inlineStr">
        <is>
          <t>Lychee (16 oz)</t>
        </is>
      </c>
      <c r="C76" s="29" t="inlineStr">
        <is>
          <t>Soda Based</t>
        </is>
      </c>
      <c r="D76" s="30" t="inlineStr">
        <is>
          <t>cups</t>
        </is>
      </c>
      <c r="E76" s="68" t="n">
        <v>129</v>
      </c>
      <c r="F76" s="32" t="n">
        <v>9999</v>
      </c>
      <c r="G76" s="33" t="n">
        <v>9994</v>
      </c>
      <c r="H76" s="44">
        <f>F76-G76</f>
        <v/>
      </c>
      <c r="I76" s="70">
        <f>H76*E76</f>
        <v/>
      </c>
    </row>
    <row r="77" ht="22" customHeight="1">
      <c r="A77" s="46" t="inlineStr">
        <is>
          <t>Subtotal — Soda Based Sales:</t>
        </is>
      </c>
      <c r="B77" s="47" t="n"/>
      <c r="C77" s="47" t="n"/>
      <c r="D77" s="47" t="n"/>
      <c r="E77" s="47" t="n"/>
      <c r="F77" s="47" t="n"/>
      <c r="G77" s="47" t="n"/>
      <c r="H77" s="48">
        <f>SUM(H72:H76)</f>
        <v/>
      </c>
      <c r="I77" s="72">
        <f>SUM(I72:I76)</f>
        <v/>
      </c>
    </row>
    <row r="78" ht="24" customHeight="1">
      <c r="A78" s="52" t="inlineStr">
        <is>
          <t>🍓  CATEGORY: FRUIT TEAS (6 Beverages)</t>
        </is>
      </c>
    </row>
    <row r="79" ht="20" customHeight="1">
      <c r="A79" s="36" t="inlineStr">
        <is>
          <t>DRK-517</t>
        </is>
      </c>
      <c r="B79" s="37" t="inlineStr">
        <is>
          <t>Pomegranate Tea (16 oz)</t>
        </is>
      </c>
      <c r="C79" s="38" t="inlineStr">
        <is>
          <t>Fruit Teas</t>
        </is>
      </c>
      <c r="D79" s="39" t="inlineStr">
        <is>
          <t>cups</t>
        </is>
      </c>
      <c r="E79" s="69" t="n">
        <v>129</v>
      </c>
      <c r="F79" s="41" t="n">
        <v>9999</v>
      </c>
      <c r="G79" s="42" t="n">
        <v>9995</v>
      </c>
      <c r="H79" s="44">
        <f>F79-G79</f>
        <v/>
      </c>
      <c r="I79" s="71">
        <f>H79*E79</f>
        <v/>
      </c>
    </row>
    <row r="80" ht="20" customHeight="1">
      <c r="A80" s="27" t="inlineStr">
        <is>
          <t>DRK-516</t>
        </is>
      </c>
      <c r="B80" s="28" t="inlineStr">
        <is>
          <t>Mango Tea (16 oz)</t>
        </is>
      </c>
      <c r="C80" s="29" t="inlineStr">
        <is>
          <t>Fruit Teas</t>
        </is>
      </c>
      <c r="D80" s="30" t="inlineStr">
        <is>
          <t>cups</t>
        </is>
      </c>
      <c r="E80" s="68" t="n">
        <v>129</v>
      </c>
      <c r="F80" s="32" t="n">
        <v>9999</v>
      </c>
      <c r="G80" s="33" t="n">
        <v>9996</v>
      </c>
      <c r="H80" s="44">
        <f>F80-G80</f>
        <v/>
      </c>
      <c r="I80" s="70">
        <f>H80*E80</f>
        <v/>
      </c>
    </row>
    <row r="81" ht="20" customHeight="1">
      <c r="A81" s="36" t="inlineStr">
        <is>
          <t>DRK-514</t>
        </is>
      </c>
      <c r="B81" s="37" t="inlineStr">
        <is>
          <t>Lychee Tea (16 oz)</t>
        </is>
      </c>
      <c r="C81" s="38" t="inlineStr">
        <is>
          <t>Fruit Teas</t>
        </is>
      </c>
      <c r="D81" s="39" t="inlineStr">
        <is>
          <t>cups</t>
        </is>
      </c>
      <c r="E81" s="69" t="n">
        <v>129</v>
      </c>
      <c r="F81" s="41" t="n">
        <v>9999</v>
      </c>
      <c r="G81" s="42" t="n">
        <v>9996</v>
      </c>
      <c r="H81" s="44">
        <f>F81-G81</f>
        <v/>
      </c>
      <c r="I81" s="71">
        <f>H81*E81</f>
        <v/>
      </c>
    </row>
    <row r="82" ht="20" customHeight="1">
      <c r="A82" s="27" t="inlineStr">
        <is>
          <t>DRK-518</t>
        </is>
      </c>
      <c r="B82" s="28" t="inlineStr">
        <is>
          <t>Pink Guava &amp; Pomegranate Tea (16 oz)</t>
        </is>
      </c>
      <c r="C82" s="29" t="inlineStr">
        <is>
          <t>Fruit Teas</t>
        </is>
      </c>
      <c r="D82" s="30" t="inlineStr">
        <is>
          <t>cups</t>
        </is>
      </c>
      <c r="E82" s="68" t="n">
        <v>129</v>
      </c>
      <c r="F82" s="32" t="n">
        <v>9999</v>
      </c>
      <c r="G82" s="33" t="n">
        <v>9998</v>
      </c>
      <c r="H82" s="44">
        <f>F82-G82</f>
        <v/>
      </c>
      <c r="I82" s="70">
        <f>H82*E82</f>
        <v/>
      </c>
    </row>
    <row r="83" ht="20" customHeight="1">
      <c r="A83" s="36" t="inlineStr">
        <is>
          <t>DRK-663</t>
        </is>
      </c>
      <c r="B83" s="37" t="inlineStr">
        <is>
          <t>Chamomile Flowers</t>
        </is>
      </c>
      <c r="C83" s="38" t="inlineStr">
        <is>
          <t>Fruit Teas</t>
        </is>
      </c>
      <c r="D83" s="39" t="inlineStr">
        <is>
          <t>cups</t>
        </is>
      </c>
      <c r="E83" s="69" t="n">
        <v>149</v>
      </c>
      <c r="F83" s="41" t="n">
        <v>9999</v>
      </c>
      <c r="G83" s="42" t="n">
        <v>9999</v>
      </c>
      <c r="H83" s="45">
        <f>F83-G83</f>
        <v/>
      </c>
      <c r="I83" s="71">
        <f>H83*E83</f>
        <v/>
      </c>
    </row>
    <row r="84" ht="20" customHeight="1">
      <c r="A84" s="27" t="inlineStr">
        <is>
          <t>DRK-515</t>
        </is>
      </c>
      <c r="B84" s="28" t="inlineStr">
        <is>
          <t>Pink Guava Tea (16 oz)</t>
        </is>
      </c>
      <c r="C84" s="29" t="inlineStr">
        <is>
          <t>Fruit Teas</t>
        </is>
      </c>
      <c r="D84" s="30" t="inlineStr">
        <is>
          <t>cups</t>
        </is>
      </c>
      <c r="E84" s="68" t="n">
        <v>129</v>
      </c>
      <c r="F84" s="32" t="n">
        <v>9999</v>
      </c>
      <c r="G84" s="33" t="n">
        <v>9999</v>
      </c>
      <c r="H84" s="45">
        <f>F84-G84</f>
        <v/>
      </c>
      <c r="I84" s="70">
        <f>H84*E84</f>
        <v/>
      </c>
    </row>
    <row r="85" ht="22" customHeight="1">
      <c r="A85" s="46" t="inlineStr">
        <is>
          <t>Subtotal — Fruit Teas Sales:</t>
        </is>
      </c>
      <c r="B85" s="47" t="n"/>
      <c r="C85" s="47" t="n"/>
      <c r="D85" s="47" t="n"/>
      <c r="E85" s="47" t="n"/>
      <c r="F85" s="47" t="n"/>
      <c r="G85" s="47" t="n"/>
      <c r="H85" s="48">
        <f>SUM(H79:H84)</f>
        <v/>
      </c>
      <c r="I85" s="72">
        <f>SUM(I79:I84)</f>
        <v/>
      </c>
    </row>
    <row r="86" ht="24" customHeight="1">
      <c r="A86" s="53" t="inlineStr">
        <is>
          <t>🍵  CATEGORY: MATCHA SERIES (12 Beverages)</t>
        </is>
      </c>
    </row>
    <row r="87" ht="20" customHeight="1">
      <c r="A87" s="36" t="inlineStr">
        <is>
          <t>DRK-522</t>
        </is>
      </c>
      <c r="B87" s="37" t="inlineStr">
        <is>
          <t>Matcha Seasalt (Large)</t>
        </is>
      </c>
      <c r="C87" s="38" t="inlineStr">
        <is>
          <t>Matcha Series</t>
        </is>
      </c>
      <c r="D87" s="39" t="inlineStr">
        <is>
          <t>cups</t>
        </is>
      </c>
      <c r="E87" s="69" t="n">
        <v>149</v>
      </c>
      <c r="F87" s="41" t="n">
        <v>9999</v>
      </c>
      <c r="G87" s="42" t="n">
        <v>9988</v>
      </c>
      <c r="H87" s="44">
        <f>F87-G87</f>
        <v/>
      </c>
      <c r="I87" s="71">
        <f>H87*E87</f>
        <v/>
      </c>
    </row>
    <row r="88" ht="20" customHeight="1">
      <c r="A88" s="27" t="inlineStr">
        <is>
          <t>DRK-524</t>
        </is>
      </c>
      <c r="B88" s="28" t="inlineStr">
        <is>
          <t>Matcha Latte (Large)</t>
        </is>
      </c>
      <c r="C88" s="29" t="inlineStr">
        <is>
          <t>Matcha Series</t>
        </is>
      </c>
      <c r="D88" s="30" t="inlineStr">
        <is>
          <t>cups</t>
        </is>
      </c>
      <c r="E88" s="68" t="n">
        <v>149</v>
      </c>
      <c r="F88" s="32" t="n">
        <v>9999</v>
      </c>
      <c r="G88" s="33" t="n">
        <v>9992</v>
      </c>
      <c r="H88" s="44">
        <f>F88-G88</f>
        <v/>
      </c>
      <c r="I88" s="70">
        <f>H88*E88</f>
        <v/>
      </c>
    </row>
    <row r="89" ht="20" customHeight="1">
      <c r="A89" s="36" t="inlineStr">
        <is>
          <t>DRK-526</t>
        </is>
      </c>
      <c r="B89" s="37" t="inlineStr">
        <is>
          <t>White Chocolate Matcha (Large)</t>
        </is>
      </c>
      <c r="C89" s="38" t="inlineStr">
        <is>
          <t>Matcha Series</t>
        </is>
      </c>
      <c r="D89" s="39" t="inlineStr">
        <is>
          <t>cups</t>
        </is>
      </c>
      <c r="E89" s="69" t="n">
        <v>149</v>
      </c>
      <c r="F89" s="41" t="n">
        <v>9999</v>
      </c>
      <c r="G89" s="42" t="n">
        <v>9995</v>
      </c>
      <c r="H89" s="44">
        <f>F89-G89</f>
        <v/>
      </c>
      <c r="I89" s="71">
        <f>H89*E89</f>
        <v/>
      </c>
    </row>
    <row r="90" ht="20" customHeight="1">
      <c r="A90" s="27" t="inlineStr">
        <is>
          <t>DRK-528</t>
        </is>
      </c>
      <c r="B90" s="28" t="inlineStr">
        <is>
          <t>Biscoff Matcha (Large)</t>
        </is>
      </c>
      <c r="C90" s="29" t="inlineStr">
        <is>
          <t>Matcha Series</t>
        </is>
      </c>
      <c r="D90" s="30" t="inlineStr">
        <is>
          <t>cups</t>
        </is>
      </c>
      <c r="E90" s="68" t="n">
        <v>149</v>
      </c>
      <c r="F90" s="32" t="n">
        <v>9999</v>
      </c>
      <c r="G90" s="33" t="n">
        <v>9996</v>
      </c>
      <c r="H90" s="44">
        <f>F90-G90</f>
        <v/>
      </c>
      <c r="I90" s="70">
        <f>H90*E90</f>
        <v/>
      </c>
    </row>
    <row r="91" ht="20" customHeight="1">
      <c r="A91" s="36" t="inlineStr">
        <is>
          <t>DRK-589</t>
        </is>
      </c>
      <c r="B91" s="37" t="inlineStr">
        <is>
          <t>Mango Matcha</t>
        </is>
      </c>
      <c r="C91" s="38" t="inlineStr">
        <is>
          <t>Matcha Series</t>
        </is>
      </c>
      <c r="D91" s="39" t="inlineStr">
        <is>
          <t>cups</t>
        </is>
      </c>
      <c r="E91" s="69" t="n">
        <v>149</v>
      </c>
      <c r="F91" s="41" t="n">
        <v>9999</v>
      </c>
      <c r="G91" s="42" t="n">
        <v>9997</v>
      </c>
      <c r="H91" s="44">
        <f>F91-G91</f>
        <v/>
      </c>
      <c r="I91" s="71">
        <f>H91*E91</f>
        <v/>
      </c>
    </row>
    <row r="92" ht="20" customHeight="1">
      <c r="A92" s="27" t="inlineStr">
        <is>
          <t>DRK-674</t>
        </is>
      </c>
      <c r="B92" s="28" t="inlineStr">
        <is>
          <t>Ube Matcha</t>
        </is>
      </c>
      <c r="C92" s="29" t="inlineStr">
        <is>
          <t>Matcha Series</t>
        </is>
      </c>
      <c r="D92" s="30" t="inlineStr">
        <is>
          <t>cups</t>
        </is>
      </c>
      <c r="E92" s="68" t="n">
        <v>149</v>
      </c>
      <c r="F92" s="32" t="n">
        <v>9999</v>
      </c>
      <c r="G92" s="33" t="n">
        <v>9999</v>
      </c>
      <c r="H92" s="45">
        <f>F92-G92</f>
        <v/>
      </c>
      <c r="I92" s="70">
        <f>H92*E92</f>
        <v/>
      </c>
    </row>
    <row r="93" ht="20" customHeight="1">
      <c r="A93" s="36" t="inlineStr">
        <is>
          <t>DRK-521</t>
        </is>
      </c>
      <c r="B93" s="37" t="inlineStr">
        <is>
          <t>Iced Matcha Seasalt (Small)</t>
        </is>
      </c>
      <c r="C93" s="38" t="inlineStr">
        <is>
          <t>Matcha Series</t>
        </is>
      </c>
      <c r="D93" s="39" t="inlineStr">
        <is>
          <t>cups</t>
        </is>
      </c>
      <c r="E93" s="69" t="n">
        <v>105</v>
      </c>
      <c r="F93" s="41" t="n">
        <v>9999</v>
      </c>
      <c r="G93" s="42" t="n">
        <v>9999</v>
      </c>
      <c r="H93" s="45">
        <f>F93-G93</f>
        <v/>
      </c>
      <c r="I93" s="71">
        <f>H93*E93</f>
        <v/>
      </c>
    </row>
    <row r="94" ht="20" customHeight="1">
      <c r="A94" s="27" t="inlineStr">
        <is>
          <t>DRK-523</t>
        </is>
      </c>
      <c r="B94" s="28" t="inlineStr">
        <is>
          <t>Iced Matcha Latte (Small)</t>
        </is>
      </c>
      <c r="C94" s="29" t="inlineStr">
        <is>
          <t>Matcha Series</t>
        </is>
      </c>
      <c r="D94" s="30" t="inlineStr">
        <is>
          <t>cups</t>
        </is>
      </c>
      <c r="E94" s="68" t="n">
        <v>105</v>
      </c>
      <c r="F94" s="32" t="n">
        <v>9999</v>
      </c>
      <c r="G94" s="33" t="n">
        <v>9999</v>
      </c>
      <c r="H94" s="45">
        <f>F94-G94</f>
        <v/>
      </c>
      <c r="I94" s="70">
        <f>H94*E94</f>
        <v/>
      </c>
    </row>
    <row r="95" ht="20" customHeight="1">
      <c r="A95" s="36" t="inlineStr">
        <is>
          <t>DRK-525</t>
        </is>
      </c>
      <c r="B95" s="37" t="inlineStr">
        <is>
          <t>White Chocolate Matcha (Small)</t>
        </is>
      </c>
      <c r="C95" s="38" t="inlineStr">
        <is>
          <t>Matcha Series</t>
        </is>
      </c>
      <c r="D95" s="39" t="inlineStr">
        <is>
          <t>cups</t>
        </is>
      </c>
      <c r="E95" s="69" t="n">
        <v>105</v>
      </c>
      <c r="F95" s="41" t="n">
        <v>9999</v>
      </c>
      <c r="G95" s="42" t="n">
        <v>9999</v>
      </c>
      <c r="H95" s="45">
        <f>F95-G95</f>
        <v/>
      </c>
      <c r="I95" s="71">
        <f>H95*E95</f>
        <v/>
      </c>
    </row>
    <row r="96" ht="20" customHeight="1">
      <c r="A96" s="27" t="inlineStr">
        <is>
          <t>DRK-527</t>
        </is>
      </c>
      <c r="B96" s="28" t="inlineStr">
        <is>
          <t>Biscoff Matcha (Small)</t>
        </is>
      </c>
      <c r="C96" s="29" t="inlineStr">
        <is>
          <t>Matcha Series</t>
        </is>
      </c>
      <c r="D96" s="30" t="inlineStr">
        <is>
          <t>cups</t>
        </is>
      </c>
      <c r="E96" s="68" t="n">
        <v>105</v>
      </c>
      <c r="F96" s="32" t="n">
        <v>9999</v>
      </c>
      <c r="G96" s="33" t="n">
        <v>9999</v>
      </c>
      <c r="H96" s="45">
        <f>F96-G96</f>
        <v/>
      </c>
      <c r="I96" s="70">
        <f>H96*E96</f>
        <v/>
      </c>
    </row>
    <row r="97" ht="20" customHeight="1">
      <c r="A97" s="36" t="inlineStr">
        <is>
          <t>DRK-529</t>
        </is>
      </c>
      <c r="B97" s="37" t="inlineStr">
        <is>
          <t>Dirty Matcha (Small)</t>
        </is>
      </c>
      <c r="C97" s="38" t="inlineStr">
        <is>
          <t>Matcha Series</t>
        </is>
      </c>
      <c r="D97" s="39" t="inlineStr">
        <is>
          <t>cups</t>
        </is>
      </c>
      <c r="E97" s="69" t="n">
        <v>105</v>
      </c>
      <c r="F97" s="41" t="n">
        <v>9999</v>
      </c>
      <c r="G97" s="42" t="n">
        <v>9999</v>
      </c>
      <c r="H97" s="45">
        <f>F97-G97</f>
        <v/>
      </c>
      <c r="I97" s="71">
        <f>H97*E97</f>
        <v/>
      </c>
    </row>
    <row r="98" ht="20" customHeight="1">
      <c r="A98" s="27" t="inlineStr">
        <is>
          <t>DRK-530</t>
        </is>
      </c>
      <c r="B98" s="28" t="inlineStr">
        <is>
          <t>Dirty Matcha (Large)</t>
        </is>
      </c>
      <c r="C98" s="29" t="inlineStr">
        <is>
          <t>Matcha Series</t>
        </is>
      </c>
      <c r="D98" s="30" t="inlineStr">
        <is>
          <t>cups</t>
        </is>
      </c>
      <c r="E98" s="68" t="n">
        <v>149</v>
      </c>
      <c r="F98" s="32" t="n">
        <v>9999</v>
      </c>
      <c r="G98" s="33" t="n">
        <v>9999</v>
      </c>
      <c r="H98" s="45">
        <f>F98-G98</f>
        <v/>
      </c>
      <c r="I98" s="70">
        <f>H98*E98</f>
        <v/>
      </c>
    </row>
    <row r="99" ht="22" customHeight="1">
      <c r="A99" s="46" t="inlineStr">
        <is>
          <t>Subtotal — Matcha Series Sales:</t>
        </is>
      </c>
      <c r="B99" s="47" t="n"/>
      <c r="C99" s="47" t="n"/>
      <c r="D99" s="47" t="n"/>
      <c r="E99" s="47" t="n"/>
      <c r="F99" s="47" t="n"/>
      <c r="G99" s="47" t="n"/>
      <c r="H99" s="48">
        <f>SUM(H87:H98)</f>
        <v/>
      </c>
      <c r="I99" s="72">
        <f>SUM(I87:I98)</f>
        <v/>
      </c>
    </row>
    <row r="100" ht="24" customHeight="1">
      <c r="A100" s="54" t="inlineStr">
        <is>
          <t>🥤  CATEGORY: FRAPPE (7 Beverages)</t>
        </is>
      </c>
    </row>
    <row r="101" ht="20" customHeight="1">
      <c r="A101" s="36" t="inlineStr">
        <is>
          <t>DRK-669</t>
        </is>
      </c>
      <c r="B101" s="37" t="inlineStr">
        <is>
          <t>Frappe Oreo</t>
        </is>
      </c>
      <c r="C101" s="38" t="inlineStr">
        <is>
          <t>Frappe</t>
        </is>
      </c>
      <c r="D101" s="39" t="inlineStr">
        <is>
          <t>cups</t>
        </is>
      </c>
      <c r="E101" s="69" t="n">
        <v>169</v>
      </c>
      <c r="F101" s="41" t="n">
        <v>9999</v>
      </c>
      <c r="G101" s="42" t="n">
        <v>9997</v>
      </c>
      <c r="H101" s="44">
        <f>F101-G101</f>
        <v/>
      </c>
      <c r="I101" s="71">
        <f>H101*E101</f>
        <v/>
      </c>
    </row>
    <row r="102" ht="20" customHeight="1">
      <c r="A102" s="27" t="inlineStr">
        <is>
          <t>DRK-664</t>
        </is>
      </c>
      <c r="B102" s="28" t="inlineStr">
        <is>
          <t xml:space="preserve">Frappe Strawberry </t>
        </is>
      </c>
      <c r="C102" s="29" t="inlineStr">
        <is>
          <t>Frappe</t>
        </is>
      </c>
      <c r="D102" s="30" t="inlineStr">
        <is>
          <t>cups</t>
        </is>
      </c>
      <c r="E102" s="68" t="n">
        <v>169</v>
      </c>
      <c r="F102" s="32" t="n">
        <v>9999</v>
      </c>
      <c r="G102" s="33" t="n">
        <v>9998</v>
      </c>
      <c r="H102" s="44">
        <f>F102-G102</f>
        <v/>
      </c>
      <c r="I102" s="70">
        <f>H102*E102</f>
        <v/>
      </c>
    </row>
    <row r="103" ht="20" customHeight="1">
      <c r="A103" s="36" t="inlineStr">
        <is>
          <t>DRK-665</t>
        </is>
      </c>
      <c r="B103" s="37" t="inlineStr">
        <is>
          <t>Frappe Chocolate</t>
        </is>
      </c>
      <c r="C103" s="38" t="inlineStr">
        <is>
          <t>Frappe</t>
        </is>
      </c>
      <c r="D103" s="39" t="inlineStr">
        <is>
          <t>cups</t>
        </is>
      </c>
      <c r="E103" s="69" t="n">
        <v>169</v>
      </c>
      <c r="F103" s="41" t="n">
        <v>9999</v>
      </c>
      <c r="G103" s="42" t="n">
        <v>9998</v>
      </c>
      <c r="H103" s="44">
        <f>F103-G103</f>
        <v/>
      </c>
      <c r="I103" s="71">
        <f>H103*E103</f>
        <v/>
      </c>
    </row>
    <row r="104" ht="20" customHeight="1">
      <c r="A104" s="27" t="inlineStr">
        <is>
          <t>DRK-667</t>
        </is>
      </c>
      <c r="B104" s="28" t="inlineStr">
        <is>
          <t>Frappe Ube Taro</t>
        </is>
      </c>
      <c r="C104" s="29" t="inlineStr">
        <is>
          <t>Frappe</t>
        </is>
      </c>
      <c r="D104" s="30" t="inlineStr">
        <is>
          <t>cups</t>
        </is>
      </c>
      <c r="E104" s="68" t="n">
        <v>169</v>
      </c>
      <c r="F104" s="32" t="n">
        <v>9999</v>
      </c>
      <c r="G104" s="33" t="n">
        <v>9998</v>
      </c>
      <c r="H104" s="44">
        <f>F104-G104</f>
        <v/>
      </c>
      <c r="I104" s="70">
        <f>H104*E104</f>
        <v/>
      </c>
    </row>
    <row r="105" ht="20" customHeight="1">
      <c r="A105" s="36" t="inlineStr">
        <is>
          <t>DRK-666</t>
        </is>
      </c>
      <c r="B105" s="37" t="inlineStr">
        <is>
          <t>Frappe Macha</t>
        </is>
      </c>
      <c r="C105" s="38" t="inlineStr">
        <is>
          <t>Frappe</t>
        </is>
      </c>
      <c r="D105" s="39" t="inlineStr">
        <is>
          <t>cups</t>
        </is>
      </c>
      <c r="E105" s="69" t="n">
        <v>169</v>
      </c>
      <c r="F105" s="41" t="n">
        <v>9999</v>
      </c>
      <c r="G105" s="42" t="n">
        <v>9999</v>
      </c>
      <c r="H105" s="45">
        <f>F105-G105</f>
        <v/>
      </c>
      <c r="I105" s="71">
        <f>H105*E105</f>
        <v/>
      </c>
    </row>
    <row r="106" ht="20" customHeight="1">
      <c r="A106" s="27" t="inlineStr">
        <is>
          <t>DRK-668</t>
        </is>
      </c>
      <c r="B106" s="28" t="inlineStr">
        <is>
          <t>Frappe Coffee</t>
        </is>
      </c>
      <c r="C106" s="29" t="inlineStr">
        <is>
          <t>Frappe</t>
        </is>
      </c>
      <c r="D106" s="30" t="inlineStr">
        <is>
          <t>cups</t>
        </is>
      </c>
      <c r="E106" s="68" t="n">
        <v>169</v>
      </c>
      <c r="F106" s="32" t="n">
        <v>9999</v>
      </c>
      <c r="G106" s="33" t="n">
        <v>9999</v>
      </c>
      <c r="H106" s="45">
        <f>F106-G106</f>
        <v/>
      </c>
      <c r="I106" s="70">
        <f>H106*E106</f>
        <v/>
      </c>
    </row>
    <row r="107" ht="20" customHeight="1">
      <c r="A107" s="36" t="inlineStr">
        <is>
          <t>DRK-670</t>
        </is>
      </c>
      <c r="B107" s="37" t="inlineStr">
        <is>
          <t>Frappe Vanilla</t>
        </is>
      </c>
      <c r="C107" s="38" t="inlineStr">
        <is>
          <t>Frappe</t>
        </is>
      </c>
      <c r="D107" s="39" t="inlineStr">
        <is>
          <t>cups</t>
        </is>
      </c>
      <c r="E107" s="69" t="n">
        <v>169</v>
      </c>
      <c r="F107" s="41" t="n">
        <v>9999</v>
      </c>
      <c r="G107" s="42" t="n">
        <v>9999</v>
      </c>
      <c r="H107" s="45">
        <f>F107-G107</f>
        <v/>
      </c>
      <c r="I107" s="71">
        <f>H107*E107</f>
        <v/>
      </c>
    </row>
    <row r="108" ht="22" customHeight="1">
      <c r="A108" s="46" t="inlineStr">
        <is>
          <t>Subtotal — Frappe Sales:</t>
        </is>
      </c>
      <c r="B108" s="47" t="n"/>
      <c r="C108" s="47" t="n"/>
      <c r="D108" s="47" t="n"/>
      <c r="E108" s="47" t="n"/>
      <c r="F108" s="47" t="n"/>
      <c r="G108" s="47" t="n"/>
      <c r="H108" s="48">
        <f>SUM(H101:H107)</f>
        <v/>
      </c>
      <c r="I108" s="72">
        <f>SUM(I101:I107)</f>
        <v/>
      </c>
    </row>
    <row r="109" ht="24" customHeight="1">
      <c r="A109" s="55" t="inlineStr">
        <is>
          <t>🫖  CATEGORY: TEA (10 Beverages)</t>
        </is>
      </c>
    </row>
    <row r="110" ht="20" customHeight="1">
      <c r="A110" s="27" t="inlineStr">
        <is>
          <t>DRK-602</t>
        </is>
      </c>
      <c r="B110" s="28" t="inlineStr">
        <is>
          <t xml:space="preserve">Dilmah Earl Grey </t>
        </is>
      </c>
      <c r="C110" s="29" t="inlineStr">
        <is>
          <t>TEA</t>
        </is>
      </c>
      <c r="D110" s="30" t="inlineStr">
        <is>
          <t>bag</t>
        </is>
      </c>
      <c r="E110" s="68" t="n">
        <v>149</v>
      </c>
      <c r="F110" s="32" t="n">
        <v>100</v>
      </c>
      <c r="G110" s="33" t="n">
        <v>91</v>
      </c>
      <c r="H110" s="44">
        <f>F110-G110</f>
        <v/>
      </c>
      <c r="I110" s="70">
        <f>H110*E110</f>
        <v/>
      </c>
    </row>
    <row r="111" ht="20" customHeight="1">
      <c r="A111" s="36" t="inlineStr">
        <is>
          <t>DRK-520</t>
        </is>
      </c>
      <c r="B111" s="37" t="inlineStr">
        <is>
          <t>Hot Black Tea (Small)</t>
        </is>
      </c>
      <c r="C111" s="38" t="inlineStr">
        <is>
          <t>TEA</t>
        </is>
      </c>
      <c r="D111" s="39" t="inlineStr">
        <is>
          <t>cups</t>
        </is>
      </c>
      <c r="E111" s="69" t="n">
        <v>99</v>
      </c>
      <c r="F111" s="41" t="n">
        <v>9999</v>
      </c>
      <c r="G111" s="42" t="n">
        <v>9995</v>
      </c>
      <c r="H111" s="44">
        <f>F111-G111</f>
        <v/>
      </c>
      <c r="I111" s="71">
        <f>H111*E111</f>
        <v/>
      </c>
    </row>
    <row r="112" ht="20" customHeight="1">
      <c r="A112" s="27" t="inlineStr">
        <is>
          <t>DRK-588</t>
        </is>
      </c>
      <c r="B112" s="28" t="inlineStr">
        <is>
          <t>Hot Black Tea (Large)</t>
        </is>
      </c>
      <c r="C112" s="29" t="inlineStr">
        <is>
          <t>TEA</t>
        </is>
      </c>
      <c r="D112" s="30" t="inlineStr">
        <is>
          <t>cups</t>
        </is>
      </c>
      <c r="E112" s="68" t="n">
        <v>129</v>
      </c>
      <c r="F112" s="32" t="n">
        <v>9999</v>
      </c>
      <c r="G112" s="33" t="n">
        <v>9995</v>
      </c>
      <c r="H112" s="44">
        <f>F112-G112</f>
        <v/>
      </c>
      <c r="I112" s="70">
        <f>H112*E112</f>
        <v/>
      </c>
    </row>
    <row r="113" ht="20" customHeight="1">
      <c r="A113" s="36" t="inlineStr">
        <is>
          <t>DRK-605</t>
        </is>
      </c>
      <c r="B113" s="37" t="inlineStr">
        <is>
          <t xml:space="preserve">Dilmah pure peppermint leaves </t>
        </is>
      </c>
      <c r="C113" s="38" t="inlineStr">
        <is>
          <t>TEA</t>
        </is>
      </c>
      <c r="D113" s="39" t="inlineStr">
        <is>
          <t>bag</t>
        </is>
      </c>
      <c r="E113" s="69" t="n">
        <v>149</v>
      </c>
      <c r="F113" s="41" t="n">
        <v>100</v>
      </c>
      <c r="G113" s="42" t="n">
        <v>98</v>
      </c>
      <c r="H113" s="44">
        <f>F113-G113</f>
        <v/>
      </c>
      <c r="I113" s="71">
        <f>H113*E113</f>
        <v/>
      </c>
    </row>
    <row r="114" ht="20" customHeight="1">
      <c r="A114" s="27" t="inlineStr">
        <is>
          <t>DRK-519</t>
        </is>
      </c>
      <c r="B114" s="28" t="inlineStr">
        <is>
          <t>Hot Jasmine Tea (Small)</t>
        </is>
      </c>
      <c r="C114" s="29" t="inlineStr">
        <is>
          <t>TEA</t>
        </is>
      </c>
      <c r="D114" s="30" t="inlineStr">
        <is>
          <t>cups</t>
        </is>
      </c>
      <c r="E114" s="68" t="n">
        <v>99</v>
      </c>
      <c r="F114" s="32" t="n">
        <v>9999</v>
      </c>
      <c r="G114" s="33" t="n">
        <v>9999</v>
      </c>
      <c r="H114" s="45">
        <f>F114-G114</f>
        <v/>
      </c>
      <c r="I114" s="70">
        <f>H114*E114</f>
        <v/>
      </c>
    </row>
    <row r="115" ht="20" customHeight="1">
      <c r="A115" s="36" t="inlineStr">
        <is>
          <t>DRK-603</t>
        </is>
      </c>
      <c r="B115" s="37" t="inlineStr">
        <is>
          <t>Dilmah Pure Chamomile flowers</t>
        </is>
      </c>
      <c r="C115" s="38" t="inlineStr">
        <is>
          <t>TEA</t>
        </is>
      </c>
      <c r="D115" s="39" t="inlineStr">
        <is>
          <t>bag</t>
        </is>
      </c>
      <c r="E115" s="69" t="n">
        <v>149</v>
      </c>
      <c r="F115" s="41" t="n">
        <v>100</v>
      </c>
      <c r="G115" s="42" t="n">
        <v>100</v>
      </c>
      <c r="H115" s="45">
        <f>F115-G115</f>
        <v/>
      </c>
      <c r="I115" s="71">
        <f>H115*E115</f>
        <v/>
      </c>
    </row>
    <row r="116" ht="20" customHeight="1">
      <c r="A116" s="27" t="inlineStr">
        <is>
          <t>DRK-604</t>
        </is>
      </c>
      <c r="B116" s="28" t="inlineStr">
        <is>
          <t xml:space="preserve">Dilmah Traditional oolong tea </t>
        </is>
      </c>
      <c r="C116" s="29" t="inlineStr">
        <is>
          <t>TEA</t>
        </is>
      </c>
      <c r="D116" s="30" t="inlineStr">
        <is>
          <t>bag</t>
        </is>
      </c>
      <c r="E116" s="68" t="n">
        <v>149</v>
      </c>
      <c r="F116" s="32" t="n">
        <v>100</v>
      </c>
      <c r="G116" s="33" t="n">
        <v>100</v>
      </c>
      <c r="H116" s="45">
        <f>F116-G116</f>
        <v/>
      </c>
      <c r="I116" s="70">
        <f>H116*E116</f>
        <v/>
      </c>
    </row>
    <row r="117" ht="20" customHeight="1">
      <c r="A117" s="36" t="inlineStr">
        <is>
          <t>DRK-601</t>
        </is>
      </c>
      <c r="B117" s="37" t="inlineStr">
        <is>
          <t xml:space="preserve">Dilmah Green Tea with Jasmine </t>
        </is>
      </c>
      <c r="C117" s="38" t="inlineStr">
        <is>
          <t>TEA</t>
        </is>
      </c>
      <c r="D117" s="39" t="inlineStr">
        <is>
          <t>bag</t>
        </is>
      </c>
      <c r="E117" s="69" t="n">
        <v>149</v>
      </c>
      <c r="F117" s="41" t="n">
        <v>100</v>
      </c>
      <c r="G117" s="42" t="n">
        <v>100</v>
      </c>
      <c r="H117" s="45">
        <f>F117-G117</f>
        <v/>
      </c>
      <c r="I117" s="71">
        <f>H117*E117</f>
        <v/>
      </c>
    </row>
    <row r="118" ht="20" customHeight="1">
      <c r="A118" s="27" t="inlineStr">
        <is>
          <t>DRK-600</t>
        </is>
      </c>
      <c r="B118" s="28" t="inlineStr">
        <is>
          <t>Dilmah Gourment Green Tea</t>
        </is>
      </c>
      <c r="C118" s="29" t="inlineStr">
        <is>
          <t>TEA</t>
        </is>
      </c>
      <c r="D118" s="30" t="inlineStr">
        <is>
          <t>bag</t>
        </is>
      </c>
      <c r="E118" s="68" t="n">
        <v>149</v>
      </c>
      <c r="F118" s="32" t="n">
        <v>100</v>
      </c>
      <c r="G118" s="33" t="n">
        <v>100</v>
      </c>
      <c r="H118" s="45">
        <f>F118-G118</f>
        <v/>
      </c>
      <c r="I118" s="70">
        <f>H118*E118</f>
        <v/>
      </c>
    </row>
    <row r="119" ht="20" customHeight="1">
      <c r="A119" s="36" t="inlineStr">
        <is>
          <t>DRK-587</t>
        </is>
      </c>
      <c r="B119" s="37" t="inlineStr">
        <is>
          <t>Hot Jasmine Tea (Large)</t>
        </is>
      </c>
      <c r="C119" s="38" t="inlineStr">
        <is>
          <t>TEA</t>
        </is>
      </c>
      <c r="D119" s="39" t="inlineStr">
        <is>
          <t>cups</t>
        </is>
      </c>
      <c r="E119" s="69" t="n">
        <v>129</v>
      </c>
      <c r="F119" s="41" t="n">
        <v>9999</v>
      </c>
      <c r="G119" s="42" t="n">
        <v>9999</v>
      </c>
      <c r="H119" s="45">
        <f>F119-G119</f>
        <v/>
      </c>
      <c r="I119" s="71">
        <f>H119*E119</f>
        <v/>
      </c>
    </row>
    <row r="120" ht="22" customHeight="1">
      <c r="A120" s="46" t="inlineStr">
        <is>
          <t>Subtotal — TEA Sales:</t>
        </is>
      </c>
      <c r="B120" s="47" t="n"/>
      <c r="C120" s="47" t="n"/>
      <c r="D120" s="47" t="n"/>
      <c r="E120" s="47" t="n"/>
      <c r="F120" s="47" t="n"/>
      <c r="G120" s="47" t="n"/>
      <c r="H120" s="48">
        <f>SUM(H110:H119)</f>
        <v/>
      </c>
      <c r="I120" s="72">
        <f>SUM(I110:I119)</f>
        <v/>
      </c>
    </row>
    <row r="121" ht="28" customHeight="1">
      <c r="A121" s="56" t="inlineStr">
        <is>
          <t>🏆 GRAND TOTAL — ALL BEVERAGE SALES:</t>
        </is>
      </c>
      <c r="B121" s="57" t="n"/>
      <c r="C121" s="57" t="n"/>
      <c r="D121" s="57" t="n"/>
      <c r="E121" s="57" t="n"/>
      <c r="F121" s="57" t="n"/>
      <c r="G121" s="57" t="n"/>
      <c r="H121" s="58">
        <f>H43+H70+H77+H85+H99+H108+H120</f>
        <v/>
      </c>
      <c r="I121" s="73">
        <f>I43+I70+I77+I85+I99+I108+I120</f>
        <v/>
      </c>
    </row>
    <row r="122" ht="15.25" customHeight="1"/>
  </sheetData>
  <mergeCells count="17">
    <mergeCell ref="A85:G85"/>
    <mergeCell ref="A2:I2"/>
    <mergeCell ref="A71:I71"/>
    <mergeCell ref="A70:G70"/>
    <mergeCell ref="A5:I5"/>
    <mergeCell ref="A120:G120"/>
    <mergeCell ref="A77:G77"/>
    <mergeCell ref="A44:I44"/>
    <mergeCell ref="A1:I1"/>
    <mergeCell ref="A43:G43"/>
    <mergeCell ref="A78:I78"/>
    <mergeCell ref="A109:I109"/>
    <mergeCell ref="A108:G108"/>
    <mergeCell ref="A100:I100"/>
    <mergeCell ref="A121:G121"/>
    <mergeCell ref="A99:G99"/>
    <mergeCell ref="A86:I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0" customWidth="1" min="4" max="4"/>
    <col width="14" customWidth="1" min="5" max="5"/>
    <col width="14" customWidth="1" min="6" max="6"/>
    <col width="18" customWidth="1" min="7" max="7"/>
    <col width="24" customWidth="1" min="8" max="8"/>
    <col width="20" customWidth="1" min="9" max="9"/>
    <col width="48" customWidth="1" min="10" max="10"/>
  </cols>
  <sheetData>
    <row r="1" ht="28" customHeight="1">
      <c r="A1" s="74" t="inlineStr">
        <is>
          <t>ESPRESSO YOURSELF &amp; TEA HOUSE - PULL-OUT &amp; WASTAGE AUDIT LOG</t>
        </is>
      </c>
    </row>
    <row r="2" ht="20" customHeight="1">
      <c r="A2" s="75" t="inlineStr">
        <is>
          <t>Official Recorded Pull-Outs, Damaged &amp; Expired Items | Branch #30 (Cebu City) vs Multi-Branch POS Database</t>
        </is>
      </c>
    </row>
    <row r="4" ht="22" customHeight="1">
      <c r="A4" s="76" t="inlineStr">
        <is>
          <t>ESPRESSO WASTAGE TOTAL
29 Units</t>
        </is>
      </c>
      <c r="B4" s="77" t="n"/>
      <c r="C4" s="76" t="inlineStr">
        <is>
          <t>ESPRESSO RETAIL LOSS
PHP 1,691.00</t>
        </is>
      </c>
      <c r="D4" s="77" t="n"/>
      <c r="E4" s="76" t="inlineStr">
        <is>
          <t>DAMAGED (CAKE)
20 pcs (PHP 980.00)</t>
        </is>
      </c>
      <c r="F4" s="77" t="n"/>
      <c r="G4" s="76" t="inlineStr">
        <is>
          <t>EXPIRED (PASTRIES/CRINKLES)
9 units (PHP 711.00)</t>
        </is>
      </c>
      <c r="H4" s="77" t="n"/>
      <c r="I4" s="76" t="inlineStr">
        <is>
          <t>BAR RETURN (BEANS TEST)
1 pack (Audit #78)</t>
        </is>
      </c>
      <c r="J4" s="77" t="n"/>
    </row>
    <row r="5" ht="22" customHeight="1">
      <c r="A5" s="77" t="n"/>
      <c r="B5" s="77" t="n"/>
      <c r="C5" s="77" t="n"/>
      <c r="D5" s="77" t="n"/>
      <c r="E5" s="77" t="n"/>
      <c r="F5" s="77" t="n"/>
      <c r="G5" s="77" t="n"/>
      <c r="H5" s="77" t="n"/>
      <c r="I5" s="77" t="n"/>
      <c r="J5" s="77" t="n"/>
    </row>
    <row r="7" ht="24" customHeight="1">
      <c r="A7" s="78" t="inlineStr">
        <is>
          <t>1. ESPRESSO YOURSELF &amp; TEA HOUSE (BRANCH #30 - CEBU CITY) - RECORDED PULL-OUTS &amp; WASTAGE</t>
        </is>
      </c>
    </row>
    <row r="8" ht="26" customHeight="1">
      <c r="A8" s="79" t="inlineStr">
        <is>
          <t>Date</t>
        </is>
      </c>
      <c r="B8" s="79" t="inlineStr">
        <is>
          <t>Tx ID / Ref</t>
        </is>
      </c>
      <c r="C8" s="79" t="inlineStr">
        <is>
          <t>Item Description</t>
        </is>
      </c>
      <c r="D8" s="79" t="inlineStr">
        <is>
          <t>Category</t>
        </is>
      </c>
      <c r="E8" s="79" t="inlineStr">
        <is>
          <t>Qty Pulled</t>
        </is>
      </c>
      <c r="F8" s="79" t="inlineStr">
        <is>
          <t>Unit Price</t>
        </is>
      </c>
      <c r="G8" s="79" t="inlineStr">
        <is>
          <t>Total Loss Value</t>
        </is>
      </c>
      <c r="H8" s="79" t="inlineStr">
        <is>
          <t>Classification</t>
        </is>
      </c>
      <c r="I8" s="79" t="inlineStr">
        <is>
          <t>Recorded By / Staff</t>
        </is>
      </c>
      <c r="J8" s="79" t="inlineStr">
        <is>
          <t>Exact Remarks / Reason</t>
        </is>
      </c>
    </row>
    <row r="9" ht="20" customHeight="1">
      <c r="A9" s="80" t="inlineStr">
        <is>
          <t>2026-09-18</t>
        </is>
      </c>
      <c r="B9" s="80" t="inlineStr">
        <is>
          <t>Tx #2438 / Audit #562</t>
        </is>
      </c>
      <c r="C9" s="81" t="inlineStr">
        <is>
          <t>Cake</t>
        </is>
      </c>
      <c r="D9" s="81" t="inlineStr">
        <is>
          <t>Cakes</t>
        </is>
      </c>
      <c r="E9" s="82" t="n">
        <v>20</v>
      </c>
      <c r="F9" s="83" t="n">
        <v>49</v>
      </c>
      <c r="G9" s="84" t="n">
        <v>980</v>
      </c>
      <c r="H9" s="85" t="inlineStr">
        <is>
          <t>Damaged</t>
        </is>
      </c>
      <c r="I9" s="80" t="inlineStr">
        <is>
          <t>JUNREL EJURANGO</t>
        </is>
      </c>
      <c r="J9" s="81" t="inlineStr">
        <is>
          <t>damage</t>
        </is>
      </c>
    </row>
    <row r="10" ht="20" customHeight="1">
      <c r="A10" s="86" t="inlineStr">
        <is>
          <t>2026-09-18</t>
        </is>
      </c>
      <c r="B10" s="86" t="inlineStr">
        <is>
          <t>Tx #2437 / Audit #559</t>
        </is>
      </c>
      <c r="C10" s="87" t="inlineStr">
        <is>
          <t>Ensaymada 6pcs</t>
        </is>
      </c>
      <c r="D10" s="87" t="inlineStr">
        <is>
          <t>Pastries</t>
        </is>
      </c>
      <c r="E10" s="88" t="n">
        <v>6</v>
      </c>
      <c r="F10" s="89" t="n">
        <v>69</v>
      </c>
      <c r="G10" s="90" t="n">
        <v>414</v>
      </c>
      <c r="H10" s="91" t="inlineStr">
        <is>
          <t>Expired</t>
        </is>
      </c>
      <c r="I10" s="86" t="inlineStr">
        <is>
          <t>JUNREL EJURANGO</t>
        </is>
      </c>
      <c r="J10" s="87" t="inlineStr">
        <is>
          <t>expired</t>
        </is>
      </c>
    </row>
    <row r="11" ht="20" customHeight="1">
      <c r="A11" s="80" t="inlineStr">
        <is>
          <t>2026-09-14</t>
        </is>
      </c>
      <c r="B11" s="80" t="inlineStr">
        <is>
          <t>Tx #2274 / Audit #412</t>
        </is>
      </c>
      <c r="C11" s="81" t="inlineStr">
        <is>
          <t>Assorted Flavor Muffin</t>
        </is>
      </c>
      <c r="D11" s="81" t="inlineStr">
        <is>
          <t>Pastries</t>
        </is>
      </c>
      <c r="E11" s="82" t="n">
        <v>2</v>
      </c>
      <c r="F11" s="83" t="n">
        <v>129</v>
      </c>
      <c r="G11" s="84" t="n">
        <v>258</v>
      </c>
      <c r="H11" s="91" t="inlineStr">
        <is>
          <t>Expired</t>
        </is>
      </c>
      <c r="I11" s="80" t="inlineStr">
        <is>
          <t>JUNREL EJURANGO</t>
        </is>
      </c>
      <c r="J11" s="81" t="inlineStr">
        <is>
          <t>expired items</t>
        </is>
      </c>
    </row>
    <row r="12" ht="20" customHeight="1">
      <c r="A12" s="86" t="inlineStr">
        <is>
          <t>2026-09-14</t>
        </is>
      </c>
      <c r="B12" s="86" t="inlineStr">
        <is>
          <t>Tx #2273 / Audit #411</t>
        </is>
      </c>
      <c r="C12" s="87" t="inlineStr">
        <is>
          <t>Crinkles</t>
        </is>
      </c>
      <c r="D12" s="87" t="inlineStr">
        <is>
          <t>Pastries &amp; Cookies</t>
        </is>
      </c>
      <c r="E12" s="88" t="n">
        <v>1</v>
      </c>
      <c r="F12" s="89" t="n">
        <v>39</v>
      </c>
      <c r="G12" s="90" t="n">
        <v>39</v>
      </c>
      <c r="H12" s="91" t="inlineStr">
        <is>
          <t>Expired</t>
        </is>
      </c>
      <c r="I12" s="86" t="inlineStr">
        <is>
          <t>JUNREL EJURANGO</t>
        </is>
      </c>
      <c r="J12" s="87" t="inlineStr">
        <is>
          <t>expired items</t>
        </is>
      </c>
    </row>
    <row r="13" ht="20" customHeight="1">
      <c r="A13" s="80" t="inlineStr">
        <is>
          <t>2026-08-26</t>
        </is>
      </c>
      <c r="B13" s="80" t="inlineStr">
        <is>
          <t>Audit #78</t>
        </is>
      </c>
      <c r="C13" s="81" t="inlineStr">
        <is>
          <t>Concept Blend 1 (Beans)</t>
        </is>
      </c>
      <c r="D13" s="81" t="inlineStr">
        <is>
          <t>Coffee Beans</t>
        </is>
      </c>
      <c r="E13" s="82" t="n">
        <v>1</v>
      </c>
      <c r="F13" s="83" t="n">
        <v>980</v>
      </c>
      <c r="G13" s="84" t="n">
        <v>0</v>
      </c>
      <c r="H13" s="92" t="inlineStr">
        <is>
          <t>Bar Test Return</t>
        </is>
      </c>
      <c r="I13" s="80" t="inlineStr">
        <is>
          <t>JUNREL EJURANGO</t>
        </is>
      </c>
      <c r="J13" s="81" t="inlineStr">
        <is>
          <t>ibalik kay test to ni sir earl (Returned to bar)</t>
        </is>
      </c>
    </row>
    <row r="14" ht="22" customHeight="1">
      <c r="A14" s="93" t="n"/>
      <c r="B14" s="93" t="n"/>
      <c r="C14" s="94" t="inlineStr">
        <is>
          <t>TOTAL ESPRESSO BRANCH (#30) LOSS</t>
        </is>
      </c>
      <c r="D14" s="93" t="n"/>
      <c r="E14" s="95">
        <f>SUM(E9:E12)</f>
        <v/>
      </c>
      <c r="F14" s="93" t="n"/>
      <c r="G14" s="96">
        <f>SUM(G9:G13)</f>
        <v/>
      </c>
      <c r="H14" s="93" t="n"/>
      <c r="I14" s="93" t="n"/>
      <c r="J14" s="93" t="n"/>
    </row>
    <row r="17" ht="24" customHeight="1">
      <c r="A17" s="78" t="inlineStr">
        <is>
          <t>2. S1P AND SP1N (BRANCH #27 - DAVAO CITY) - RECORDED IN SHARED POS DATABASE</t>
        </is>
      </c>
    </row>
    <row r="18" ht="26" customHeight="1">
      <c r="A18" s="97" t="inlineStr">
        <is>
          <t>Date</t>
        </is>
      </c>
      <c r="B18" s="97" t="inlineStr">
        <is>
          <t>Tx ID / Ref</t>
        </is>
      </c>
      <c r="C18" s="97" t="inlineStr">
        <is>
          <t>Item Description</t>
        </is>
      </c>
      <c r="D18" s="97" t="inlineStr">
        <is>
          <t>Category</t>
        </is>
      </c>
      <c r="E18" s="97" t="inlineStr">
        <is>
          <t>Qty Pulled</t>
        </is>
      </c>
      <c r="F18" s="97" t="inlineStr">
        <is>
          <t>Unit Price</t>
        </is>
      </c>
      <c r="G18" s="97" t="inlineStr">
        <is>
          <t>Total Loss Value</t>
        </is>
      </c>
      <c r="H18" s="97" t="inlineStr">
        <is>
          <t>Classification</t>
        </is>
      </c>
      <c r="I18" s="97" t="inlineStr">
        <is>
          <t>Recorded By / Staff</t>
        </is>
      </c>
      <c r="J18" s="97" t="inlineStr">
        <is>
          <t>Exact Remarks / Reason</t>
        </is>
      </c>
    </row>
    <row r="19" ht="20" customHeight="1">
      <c r="A19" s="80" t="inlineStr">
        <is>
          <t>2026-08-11</t>
        </is>
      </c>
      <c r="B19" s="80" t="inlineStr">
        <is>
          <t>Tx #300</t>
        </is>
      </c>
      <c r="C19" s="81" t="inlineStr">
        <is>
          <t>Lemon Lava</t>
        </is>
      </c>
      <c r="D19" s="81" t="inlineStr">
        <is>
          <t>Pastries</t>
        </is>
      </c>
      <c r="E19" s="82" t="n">
        <v>3</v>
      </c>
      <c r="F19" s="83" t="n">
        <v>95</v>
      </c>
      <c r="G19" s="84" t="n">
        <v>285</v>
      </c>
      <c r="H19" s="98" t="inlineStr">
        <is>
          <t>Spoilage Pull-Out</t>
        </is>
      </c>
      <c r="I19" s="80" t="inlineStr">
        <is>
          <t>Branch 27 Staff</t>
        </is>
      </c>
      <c r="J19" s="81" t="inlineStr">
        <is>
          <t>pull out/spoilage</t>
        </is>
      </c>
    </row>
    <row r="20" ht="20" customHeight="1">
      <c r="A20" s="86" t="inlineStr">
        <is>
          <t>2026-08-11</t>
        </is>
      </c>
      <c r="B20" s="86" t="inlineStr">
        <is>
          <t>Tx #301</t>
        </is>
      </c>
      <c r="C20" s="87" t="inlineStr">
        <is>
          <t>Choco Bomb</t>
        </is>
      </c>
      <c r="D20" s="87" t="inlineStr">
        <is>
          <t>Pastries</t>
        </is>
      </c>
      <c r="E20" s="88" t="n">
        <v>4</v>
      </c>
      <c r="F20" s="89" t="n">
        <v>139</v>
      </c>
      <c r="G20" s="90" t="n">
        <v>556</v>
      </c>
      <c r="H20" s="98" t="inlineStr">
        <is>
          <t>Spoilage Pull-Out</t>
        </is>
      </c>
      <c r="I20" s="86" t="inlineStr">
        <is>
          <t>Branch 27 Staff</t>
        </is>
      </c>
      <c r="J20" s="87" t="inlineStr">
        <is>
          <t>pull out/spoilage</t>
        </is>
      </c>
    </row>
    <row r="21" ht="20" customHeight="1">
      <c r="A21" s="80" t="inlineStr">
        <is>
          <t>2026-08-11</t>
        </is>
      </c>
      <c r="B21" s="80" t="inlineStr">
        <is>
          <t>Tx #302</t>
        </is>
      </c>
      <c r="C21" s="81" t="inlineStr">
        <is>
          <t>Ensaymada</t>
        </is>
      </c>
      <c r="D21" s="81" t="inlineStr">
        <is>
          <t>Pastries</t>
        </is>
      </c>
      <c r="E21" s="82" t="n">
        <v>3</v>
      </c>
      <c r="F21" s="83" t="n">
        <v>59</v>
      </c>
      <c r="G21" s="84" t="n">
        <v>177</v>
      </c>
      <c r="H21" s="98" t="inlineStr">
        <is>
          <t>Spoilage Pull-Out</t>
        </is>
      </c>
      <c r="I21" s="80" t="inlineStr">
        <is>
          <t>Branch 27 Staff</t>
        </is>
      </c>
      <c r="J21" s="81" t="inlineStr">
        <is>
          <t>pull out/spoilage</t>
        </is>
      </c>
    </row>
    <row r="22" ht="20" customHeight="1">
      <c r="A22" s="86" t="inlineStr">
        <is>
          <t>2026-08-11</t>
        </is>
      </c>
      <c r="B22" s="86" t="inlineStr">
        <is>
          <t>Tx #303</t>
        </is>
      </c>
      <c r="C22" s="87" t="inlineStr">
        <is>
          <t>Cheese Muff</t>
        </is>
      </c>
      <c r="D22" s="87" t="inlineStr">
        <is>
          <t>Pastries</t>
        </is>
      </c>
      <c r="E22" s="88" t="n">
        <v>1</v>
      </c>
      <c r="F22" s="89" t="n">
        <v>99</v>
      </c>
      <c r="G22" s="90" t="n">
        <v>99</v>
      </c>
      <c r="H22" s="98" t="inlineStr">
        <is>
          <t>Spoilage Pull-Out</t>
        </is>
      </c>
      <c r="I22" s="86" t="inlineStr">
        <is>
          <t>Branch 27 Staff</t>
        </is>
      </c>
      <c r="J22" s="87" t="inlineStr">
        <is>
          <t>pull out/spoilage</t>
        </is>
      </c>
    </row>
    <row r="23" ht="20" customHeight="1">
      <c r="A23" s="80" t="inlineStr">
        <is>
          <t>2026-08-11</t>
        </is>
      </c>
      <c r="B23" s="80" t="inlineStr">
        <is>
          <t>Tx #304</t>
        </is>
      </c>
      <c r="C23" s="81" t="inlineStr">
        <is>
          <t>Bagel</t>
        </is>
      </c>
      <c r="D23" s="81" t="inlineStr">
        <is>
          <t>Pastries</t>
        </is>
      </c>
      <c r="E23" s="82" t="n">
        <v>5</v>
      </c>
      <c r="F23" s="83" t="n">
        <v>60</v>
      </c>
      <c r="G23" s="84" t="n">
        <v>300</v>
      </c>
      <c r="H23" s="98" t="inlineStr">
        <is>
          <t>Spoilage Pull-Out</t>
        </is>
      </c>
      <c r="I23" s="80" t="inlineStr">
        <is>
          <t>Branch 27 Staff</t>
        </is>
      </c>
      <c r="J23" s="81" t="inlineStr">
        <is>
          <t>pull out/spoilage</t>
        </is>
      </c>
    </row>
    <row r="24" ht="20" customHeight="1">
      <c r="A24" s="86" t="inlineStr">
        <is>
          <t>2026-08-11</t>
        </is>
      </c>
      <c r="B24" s="86" t="inlineStr">
        <is>
          <t>Tx #305</t>
        </is>
      </c>
      <c r="C24" s="87" t="inlineStr">
        <is>
          <t>Oat Meal Cookies</t>
        </is>
      </c>
      <c r="D24" s="87" t="inlineStr">
        <is>
          <t>Pastries &amp; Cookies</t>
        </is>
      </c>
      <c r="E24" s="88" t="n">
        <v>6</v>
      </c>
      <c r="F24" s="89" t="n">
        <v>129</v>
      </c>
      <c r="G24" s="90" t="n">
        <v>774</v>
      </c>
      <c r="H24" s="91" t="inlineStr">
        <is>
          <t>Expired</t>
        </is>
      </c>
      <c r="I24" s="86" t="inlineStr">
        <is>
          <t>Branch 27 Staff</t>
        </is>
      </c>
      <c r="J24" s="87" t="inlineStr">
        <is>
          <t>Expired</t>
        </is>
      </c>
    </row>
    <row r="25" ht="20" customHeight="1">
      <c r="A25" s="80" t="inlineStr">
        <is>
          <t>2026-08-11</t>
        </is>
      </c>
      <c r="B25" s="80" t="inlineStr">
        <is>
          <t>Tx #306</t>
        </is>
      </c>
      <c r="C25" s="81" t="inlineStr">
        <is>
          <t>Choco Walcut Cookies</t>
        </is>
      </c>
      <c r="D25" s="81" t="inlineStr">
        <is>
          <t>Pastries &amp; Cookies</t>
        </is>
      </c>
      <c r="E25" s="82" t="n">
        <v>6</v>
      </c>
      <c r="F25" s="83" t="n">
        <v>39</v>
      </c>
      <c r="G25" s="84" t="n">
        <v>234</v>
      </c>
      <c r="H25" s="91" t="inlineStr">
        <is>
          <t>Expired</t>
        </is>
      </c>
      <c r="I25" s="80" t="inlineStr">
        <is>
          <t>Branch 27 Staff</t>
        </is>
      </c>
      <c r="J25" s="81" t="inlineStr">
        <is>
          <t>Expired</t>
        </is>
      </c>
    </row>
    <row r="26" ht="20" customHeight="1">
      <c r="A26" s="86" t="inlineStr">
        <is>
          <t>2026-08-11</t>
        </is>
      </c>
      <c r="B26" s="86" t="inlineStr">
        <is>
          <t>Tx #307</t>
        </is>
      </c>
      <c r="C26" s="87" t="inlineStr">
        <is>
          <t>Velvet Cake</t>
        </is>
      </c>
      <c r="D26" s="87" t="inlineStr">
        <is>
          <t>Cakes</t>
        </is>
      </c>
      <c r="E26" s="88" t="n">
        <v>2</v>
      </c>
      <c r="F26" s="89" t="n">
        <v>49</v>
      </c>
      <c r="G26" s="90" t="n">
        <v>98</v>
      </c>
      <c r="H26" s="91" t="inlineStr">
        <is>
          <t>Expired</t>
        </is>
      </c>
      <c r="I26" s="86" t="inlineStr">
        <is>
          <t>Branch 27 Staff</t>
        </is>
      </c>
      <c r="J26" s="87" t="inlineStr">
        <is>
          <t>expired</t>
        </is>
      </c>
    </row>
    <row r="27" ht="20" customHeight="1">
      <c r="A27" s="80" t="inlineStr">
        <is>
          <t>2026-08-11</t>
        </is>
      </c>
      <c r="B27" s="80" t="inlineStr">
        <is>
          <t>Tx #308</t>
        </is>
      </c>
      <c r="C27" s="81" t="inlineStr">
        <is>
          <t>Bagel</t>
        </is>
      </c>
      <c r="D27" s="81" t="inlineStr">
        <is>
          <t>Pastries</t>
        </is>
      </c>
      <c r="E27" s="82" t="n">
        <v>1</v>
      </c>
      <c r="F27" s="83" t="n">
        <v>60</v>
      </c>
      <c r="G27" s="84" t="n">
        <v>60</v>
      </c>
      <c r="H27" s="91" t="inlineStr">
        <is>
          <t>Expired</t>
        </is>
      </c>
      <c r="I27" s="80" t="inlineStr">
        <is>
          <t>Branch 27 Staff</t>
        </is>
      </c>
      <c r="J27" s="81" t="inlineStr">
        <is>
          <t>expired</t>
        </is>
      </c>
    </row>
    <row r="28" ht="20" customHeight="1">
      <c r="A28" s="86" t="inlineStr">
        <is>
          <t>2026-08-11</t>
        </is>
      </c>
      <c r="B28" s="86" t="inlineStr">
        <is>
          <t>Tx #309</t>
        </is>
      </c>
      <c r="C28" s="87" t="inlineStr">
        <is>
          <t>Lemon Lava</t>
        </is>
      </c>
      <c r="D28" s="87" t="inlineStr">
        <is>
          <t>Pastries</t>
        </is>
      </c>
      <c r="E28" s="88" t="n">
        <v>1</v>
      </c>
      <c r="F28" s="89" t="n">
        <v>95</v>
      </c>
      <c r="G28" s="90" t="n">
        <v>95</v>
      </c>
      <c r="H28" s="91" t="inlineStr">
        <is>
          <t>Expired</t>
        </is>
      </c>
      <c r="I28" s="86" t="inlineStr">
        <is>
          <t>Branch 27 Staff</t>
        </is>
      </c>
      <c r="J28" s="87" t="inlineStr">
        <is>
          <t>expired</t>
        </is>
      </c>
    </row>
    <row r="29" ht="20" customHeight="1">
      <c r="A29" s="80" t="inlineStr">
        <is>
          <t>2026-08-17</t>
        </is>
      </c>
      <c r="B29" s="80" t="inlineStr">
        <is>
          <t>Tx #381</t>
        </is>
      </c>
      <c r="C29" s="81" t="inlineStr">
        <is>
          <t>Otmeak Cookies</t>
        </is>
      </c>
      <c r="D29" s="81" t="inlineStr">
        <is>
          <t>Pastries &amp; Cookies</t>
        </is>
      </c>
      <c r="E29" s="82" t="n">
        <v>6</v>
      </c>
      <c r="F29" s="83" t="n">
        <v>129</v>
      </c>
      <c r="G29" s="84" t="n">
        <v>774</v>
      </c>
      <c r="H29" s="91" t="inlineStr">
        <is>
          <t>Expired</t>
        </is>
      </c>
      <c r="I29" s="80" t="inlineStr">
        <is>
          <t>Branch 27 Staff</t>
        </is>
      </c>
      <c r="J29" s="81" t="inlineStr">
        <is>
          <t>EXPIRED</t>
        </is>
      </c>
    </row>
    <row r="30" ht="20" customHeight="1">
      <c r="A30" s="86" t="inlineStr">
        <is>
          <t>2026-08-17</t>
        </is>
      </c>
      <c r="B30" s="86" t="inlineStr">
        <is>
          <t>Tx #382</t>
        </is>
      </c>
      <c r="C30" s="87" t="inlineStr">
        <is>
          <t>Crema de Fruta</t>
        </is>
      </c>
      <c r="D30" s="87" t="inlineStr">
        <is>
          <t>Cakes &amp; Desserts</t>
        </is>
      </c>
      <c r="E30" s="88" t="n">
        <v>8</v>
      </c>
      <c r="F30" s="89" t="n">
        <v>40</v>
      </c>
      <c r="G30" s="90" t="n">
        <v>320</v>
      </c>
      <c r="H30" s="99" t="inlineStr">
        <is>
          <t>Out of Stock Write-off</t>
        </is>
      </c>
      <c r="I30" s="86" t="inlineStr">
        <is>
          <t>Branch 27 Staff</t>
        </is>
      </c>
      <c r="J30" s="87" t="inlineStr">
        <is>
          <t>OUT OF STOCK</t>
        </is>
      </c>
    </row>
    <row r="31" ht="20" customHeight="1">
      <c r="A31" s="80" t="inlineStr">
        <is>
          <t>2026-08-17</t>
        </is>
      </c>
      <c r="B31" s="80" t="inlineStr">
        <is>
          <t>Tx #383</t>
        </is>
      </c>
      <c r="C31" s="81" t="inlineStr">
        <is>
          <t>Chico Walnuts Cookies</t>
        </is>
      </c>
      <c r="D31" s="81" t="inlineStr">
        <is>
          <t>Pastries &amp; Cookies</t>
        </is>
      </c>
      <c r="E31" s="82" t="n">
        <v>6</v>
      </c>
      <c r="F31" s="83" t="n">
        <v>129</v>
      </c>
      <c r="G31" s="84" t="n">
        <v>774</v>
      </c>
      <c r="H31" s="91" t="inlineStr">
        <is>
          <t>Expired</t>
        </is>
      </c>
      <c r="I31" s="80" t="inlineStr">
        <is>
          <t>Branch 27 Staff</t>
        </is>
      </c>
      <c r="J31" s="81" t="inlineStr">
        <is>
          <t>EXPIRED</t>
        </is>
      </c>
    </row>
    <row r="32" ht="20" customHeight="1">
      <c r="A32" s="86" t="inlineStr">
        <is>
          <t>2026-08-17</t>
        </is>
      </c>
      <c r="B32" s="86" t="inlineStr">
        <is>
          <t>Tx #385</t>
        </is>
      </c>
      <c r="C32" s="87" t="inlineStr">
        <is>
          <t>Glazed Blueberry</t>
        </is>
      </c>
      <c r="D32" s="87" t="inlineStr">
        <is>
          <t>Pastries</t>
        </is>
      </c>
      <c r="E32" s="88" t="n">
        <v>6</v>
      </c>
      <c r="F32" s="89" t="n">
        <v>45</v>
      </c>
      <c r="G32" s="90" t="n">
        <v>270</v>
      </c>
      <c r="H32" s="91" t="inlineStr">
        <is>
          <t>Expired</t>
        </is>
      </c>
      <c r="I32" s="86" t="inlineStr">
        <is>
          <t>Branch 27 Staff</t>
        </is>
      </c>
      <c r="J32" s="87" t="inlineStr">
        <is>
          <t>EXPIRED</t>
        </is>
      </c>
    </row>
    <row r="33" ht="20" customHeight="1">
      <c r="A33" s="80" t="inlineStr">
        <is>
          <t>2026-08-15</t>
        </is>
      </c>
      <c r="B33" s="80" t="inlineStr">
        <is>
          <t>Tx #360</t>
        </is>
      </c>
      <c r="C33" s="81" t="inlineStr">
        <is>
          <t>Glazed Blueberry</t>
        </is>
      </c>
      <c r="D33" s="81" t="inlineStr">
        <is>
          <t>Pastries</t>
        </is>
      </c>
      <c r="E33" s="82" t="n">
        <v>6</v>
      </c>
      <c r="F33" s="83" t="n">
        <v>45</v>
      </c>
      <c r="G33" s="84" t="n">
        <v>270</v>
      </c>
      <c r="H33" s="99" t="inlineStr">
        <is>
          <t>Manual Deduction</t>
        </is>
      </c>
      <c r="I33" s="80" t="inlineStr">
        <is>
          <t>Branch 27 Staff</t>
        </is>
      </c>
      <c r="J33" s="81" t="inlineStr">
        <is>
          <t>Direct stock adjustment via product edit (from 12 to 6)</t>
        </is>
      </c>
    </row>
    <row r="34" ht="20" customHeight="1">
      <c r="A34" s="86" t="inlineStr">
        <is>
          <t>2026-08-17</t>
        </is>
      </c>
      <c r="B34" s="86" t="inlineStr">
        <is>
          <t>Tx #375</t>
        </is>
      </c>
      <c r="C34" s="87" t="inlineStr">
        <is>
          <t>Summit Water</t>
        </is>
      </c>
      <c r="D34" s="87" t="inlineStr">
        <is>
          <t>Beverages</t>
        </is>
      </c>
      <c r="E34" s="88" t="n">
        <v>2</v>
      </c>
      <c r="F34" s="89" t="n">
        <v>20</v>
      </c>
      <c r="G34" s="90" t="n">
        <v>40</v>
      </c>
      <c r="H34" s="99" t="inlineStr">
        <is>
          <t>Manual Deduction</t>
        </is>
      </c>
      <c r="I34" s="86" t="inlineStr">
        <is>
          <t>Branch 27 Staff</t>
        </is>
      </c>
      <c r="J34" s="87" t="inlineStr">
        <is>
          <t>Direct stock adjustment via product edit (from 41 to 39)</t>
        </is>
      </c>
    </row>
    <row r="35" ht="20" customHeight="1">
      <c r="A35" s="80" t="inlineStr">
        <is>
          <t>2026-08-17</t>
        </is>
      </c>
      <c r="B35" s="80" t="inlineStr">
        <is>
          <t>Tx #379</t>
        </is>
      </c>
      <c r="C35" s="81" t="inlineStr">
        <is>
          <t>Cinamon Rolls</t>
        </is>
      </c>
      <c r="D35" s="81" t="inlineStr">
        <is>
          <t>Pastries</t>
        </is>
      </c>
      <c r="E35" s="82" t="n">
        <v>5</v>
      </c>
      <c r="F35" s="83" t="n">
        <v>40</v>
      </c>
      <c r="G35" s="84" t="n">
        <v>200</v>
      </c>
      <c r="H35" s="99" t="inlineStr">
        <is>
          <t>Manual Deduction</t>
        </is>
      </c>
      <c r="I35" s="80" t="inlineStr">
        <is>
          <t>Branch 27 Staff</t>
        </is>
      </c>
      <c r="J35" s="81" t="inlineStr">
        <is>
          <t>Direct stock adjustment via product edit (from 32 to 27)</t>
        </is>
      </c>
    </row>
    <row r="36" ht="20" customHeight="1">
      <c r="A36" s="86" t="inlineStr">
        <is>
          <t>2026-09-15</t>
        </is>
      </c>
      <c r="B36" s="86" t="inlineStr">
        <is>
          <t>Tx #2330</t>
        </is>
      </c>
      <c r="C36" s="87" t="inlineStr">
        <is>
          <t>Perrier</t>
        </is>
      </c>
      <c r="D36" s="87" t="inlineStr">
        <is>
          <t>Beverages</t>
        </is>
      </c>
      <c r="E36" s="88" t="n">
        <v>1</v>
      </c>
      <c r="F36" s="89" t="n">
        <v>199</v>
      </c>
      <c r="G36" s="90" t="n">
        <v>199</v>
      </c>
      <c r="H36" s="99" t="inlineStr">
        <is>
          <t>Manual Deduction</t>
        </is>
      </c>
      <c r="I36" s="86" t="inlineStr">
        <is>
          <t>Branch 27 Staff</t>
        </is>
      </c>
      <c r="J36" s="87" t="inlineStr">
        <is>
          <t>Direct stock adjustment via product edit (from 11 to 10)</t>
        </is>
      </c>
    </row>
    <row r="37" ht="20" customHeight="1">
      <c r="A37" s="80" t="inlineStr">
        <is>
          <t>2026-09-15</t>
        </is>
      </c>
      <c r="B37" s="80" t="inlineStr">
        <is>
          <t>Tx #2333</t>
        </is>
      </c>
      <c r="C37" s="81" t="inlineStr">
        <is>
          <t>Coke Zero</t>
        </is>
      </c>
      <c r="D37" s="81" t="inlineStr">
        <is>
          <t>Beverages</t>
        </is>
      </c>
      <c r="E37" s="82" t="n">
        <v>1</v>
      </c>
      <c r="F37" s="83" t="n">
        <v>99</v>
      </c>
      <c r="G37" s="84" t="n">
        <v>99</v>
      </c>
      <c r="H37" s="99" t="inlineStr">
        <is>
          <t>Manual Deduction</t>
        </is>
      </c>
      <c r="I37" s="80" t="inlineStr">
        <is>
          <t>Branch 27 Staff</t>
        </is>
      </c>
      <c r="J37" s="81" t="inlineStr">
        <is>
          <t>Direct stock adjustment via product edit (from 19 to 18)</t>
        </is>
      </c>
    </row>
    <row r="38" ht="20" customHeight="1">
      <c r="A38" s="86" t="inlineStr">
        <is>
          <t>2026-09-15</t>
        </is>
      </c>
      <c r="B38" s="86" t="inlineStr">
        <is>
          <t>Tx #2334</t>
        </is>
      </c>
      <c r="C38" s="87" t="inlineStr">
        <is>
          <t>Coca Cola 320ml</t>
        </is>
      </c>
      <c r="D38" s="87" t="inlineStr">
        <is>
          <t>Beverages</t>
        </is>
      </c>
      <c r="E38" s="88" t="n">
        <v>4</v>
      </c>
      <c r="F38" s="89" t="n">
        <v>45</v>
      </c>
      <c r="G38" s="90" t="n">
        <v>180</v>
      </c>
      <c r="H38" s="99" t="inlineStr">
        <is>
          <t>Manual Deduction</t>
        </is>
      </c>
      <c r="I38" s="86" t="inlineStr">
        <is>
          <t>Branch 27 Staff</t>
        </is>
      </c>
      <c r="J38" s="87" t="inlineStr">
        <is>
          <t>Direct stock adjustment via product edit (from 24 to 20)</t>
        </is>
      </c>
    </row>
    <row r="39" ht="20" customHeight="1">
      <c r="A39" s="80" t="inlineStr">
        <is>
          <t>2026-09-15</t>
        </is>
      </c>
      <c r="B39" s="80" t="inlineStr">
        <is>
          <t>Tx #2335</t>
        </is>
      </c>
      <c r="C39" s="81" t="inlineStr">
        <is>
          <t>Pocari Sweet - 500ml</t>
        </is>
      </c>
      <c r="D39" s="81" t="inlineStr">
        <is>
          <t>Beverages</t>
        </is>
      </c>
      <c r="E39" s="82" t="n">
        <v>2</v>
      </c>
      <c r="F39" s="83" t="n">
        <v>50</v>
      </c>
      <c r="G39" s="84" t="n">
        <v>100</v>
      </c>
      <c r="H39" s="99" t="inlineStr">
        <is>
          <t>Manual Deduction</t>
        </is>
      </c>
      <c r="I39" s="80" t="inlineStr">
        <is>
          <t>Branch 27 Staff</t>
        </is>
      </c>
      <c r="J39" s="81" t="inlineStr">
        <is>
          <t>Direct stock adjustment via product edit (from 37 to 35)</t>
        </is>
      </c>
    </row>
    <row r="40" ht="22" customHeight="1">
      <c r="A40" s="100" t="n"/>
      <c r="B40" s="100" t="n"/>
      <c r="C40" s="101" t="inlineStr">
        <is>
          <t>TOTAL S1P &amp; SP1N BRANCH (#27) LOSS</t>
        </is>
      </c>
      <c r="D40" s="100" t="n"/>
      <c r="E40" s="102">
        <f>SUM(E19:E39)</f>
        <v/>
      </c>
      <c r="F40" s="100" t="n"/>
      <c r="G40" s="103">
        <f>SUM(G19:G39)</f>
        <v/>
      </c>
      <c r="H40" s="100" t="n"/>
      <c r="I40" s="100" t="n"/>
      <c r="J40" s="100" t="n"/>
    </row>
  </sheetData>
  <mergeCells count="7">
    <mergeCell ref="A1:J1"/>
    <mergeCell ref="A4:B5"/>
    <mergeCell ref="C4:D5"/>
    <mergeCell ref="E4:F5"/>
    <mergeCell ref="G4:H5"/>
    <mergeCell ref="I4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2026-09-22T01:57:00Z</dcterms:created>
  <dcterms:modified xsi:type="dcterms:W3CDTF">2026-09-22T09:54:05Z</dcterms:modified>
  <cp:lastModifiedBy>Junrel Ejurango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EBBC3A27AE4E4728B1380C718141EAA9_12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