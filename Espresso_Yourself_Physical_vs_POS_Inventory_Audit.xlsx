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Complete Inventory Audit" sheetId="2" state="visible" r:id="rId2"/>
    <sheet name="🚨 Reorder &amp;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₱#,##0.00"/>
    <numFmt numFmtId="165" formatCode="+#,##0.00;-#,##0.00;0.00"/>
    <numFmt numFmtId="166" formatCode="#,##0.00;-#,##0.00;0.00"/>
    <numFmt numFmtId="167" formatCode="₱#,##0.00;[Red](₱#,##0.00);₱0.00"/>
  </numFmts>
  <fonts count="2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D4C3"/>
      <sz val="10"/>
    </font>
    <font>
      <name val="Segoe UI"/>
      <b val="1"/>
      <color rgb="00FFFFFF"/>
      <sz val="9"/>
    </font>
    <font>
      <name val="Segoe UI"/>
      <b val="1"/>
      <color rgb="001F1F1F"/>
      <sz val="16"/>
    </font>
    <font>
      <name val="Segoe UI"/>
      <i val="1"/>
      <color rgb="00555555"/>
      <sz val="9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F1F1F"/>
      <sz val="10"/>
    </font>
    <font>
      <name val="Segoe UI"/>
      <b val="1"/>
      <color rgb="002C1810"/>
      <sz val="10"/>
    </font>
    <font>
      <name val="Segoe UI"/>
      <b val="1"/>
      <color rgb="000F5132"/>
      <sz val="11"/>
    </font>
    <font>
      <name val="Segoe UI"/>
      <color rgb="001F1F1F"/>
      <sz val="10"/>
    </font>
    <font>
      <name val="Segoe UI"/>
      <b val="1"/>
      <color rgb="00555555"/>
      <sz val="9"/>
    </font>
    <font>
      <name val="Segoe UI"/>
      <b val="1"/>
      <color rgb="00000000"/>
      <sz val="10"/>
    </font>
    <font>
      <name val="Segoe UI"/>
      <i val="1"/>
      <color rgb="00333333"/>
      <sz val="9"/>
    </font>
    <font>
      <name val="Segoe UI"/>
      <b val="1"/>
      <color rgb="00084298"/>
      <sz val="10"/>
    </font>
    <font>
      <name val="Segoe UI"/>
      <b val="1"/>
      <color rgb="004A2E1B"/>
      <sz val="9"/>
    </font>
    <font>
      <name val="Segoe UI"/>
      <b val="1"/>
      <sz val="9"/>
    </font>
    <font>
      <name val="Segoe UI"/>
      <b val="1"/>
      <color rgb="000F5132"/>
      <sz val="9"/>
    </font>
    <font>
      <name val="Segoe UI"/>
      <b val="1"/>
      <color rgb="0041464B"/>
      <sz val="10"/>
    </font>
    <font>
      <name val="Segoe UI"/>
      <b val="1"/>
      <color rgb="000F5132"/>
      <sz val="10"/>
    </font>
    <font>
      <name val="Segoe UI"/>
      <b val="1"/>
      <color rgb="00842029"/>
      <sz val="10"/>
    </font>
    <font>
      <name val="Segoe UI"/>
      <b val="1"/>
      <color rgb="00664D03"/>
      <sz val="10"/>
    </font>
    <font>
      <name val="Segoe UI"/>
      <b val="1"/>
      <color rgb="002C1810"/>
      <sz val="11"/>
    </font>
    <font>
      <name val="Segoe UI"/>
      <b val="1"/>
      <color rgb="00842029"/>
      <sz val="12"/>
    </font>
  </fonts>
  <fills count="26">
    <fill>
      <patternFill/>
    </fill>
    <fill>
      <patternFill patternType="gray125"/>
    </fill>
    <fill>
      <patternFill patternType="solid">
        <fgColor rgb="002C1810"/>
        <bgColor rgb="002C1810"/>
      </patternFill>
    </fill>
    <fill>
      <patternFill patternType="solid">
        <fgColor rgb="004A2E1B"/>
        <bgColor rgb="004A2E1B"/>
      </patternFill>
    </fill>
    <fill>
      <patternFill patternType="solid">
        <fgColor rgb="00F5F5F5"/>
        <bgColor rgb="00F5F5F5"/>
      </patternFill>
    </fill>
    <fill>
      <patternFill patternType="solid">
        <fgColor rgb="007A5210"/>
        <bgColor rgb="007A5210"/>
      </patternFill>
    </fill>
    <fill>
      <patternFill patternType="solid">
        <fgColor rgb="00084298"/>
        <bgColor rgb="00084298"/>
      </patternFill>
    </fill>
    <fill>
      <patternFill patternType="solid">
        <fgColor rgb="000F5132"/>
        <bgColor rgb="000F5132"/>
      </patternFill>
    </fill>
    <fill>
      <patternFill patternType="solid">
        <fgColor rgb="00842029"/>
        <bgColor rgb="00842029"/>
      </patternFill>
    </fill>
    <fill>
      <patternFill patternType="solid">
        <fgColor rgb="003D2314"/>
        <bgColor rgb="003D2314"/>
      </patternFill>
    </fill>
    <fill>
      <patternFill patternType="solid">
        <fgColor rgb="00F2EDE4"/>
        <bgColor rgb="00F2EDE4"/>
      </patternFill>
    </fill>
    <fill>
      <patternFill patternType="solid">
        <fgColor rgb="00F5EFE6"/>
        <bgColor rgb="00F5EFE6"/>
      </patternFill>
    </fill>
    <fill>
      <patternFill patternType="solid">
        <fgColor rgb="00FAF8F5"/>
        <bgColor rgb="00FAF8F5"/>
      </patternFill>
    </fill>
    <fill>
      <patternFill patternType="solid">
        <fgColor rgb="004A3525"/>
        <bgColor rgb="004A3525"/>
      </patternFill>
    </fill>
    <fill>
      <patternFill patternType="solid">
        <fgColor rgb="00CFE2FF"/>
        <bgColor rgb="00CFE2FF"/>
      </patternFill>
    </fill>
    <fill>
      <patternFill patternType="solid">
        <fgColor rgb="00FFFFFF"/>
        <bgColor rgb="00FFFFFF"/>
      </patternFill>
    </fill>
    <fill>
      <patternFill patternType="solid">
        <fgColor rgb="00E2E3E5"/>
        <bgColor rgb="00E2E3E5"/>
      </patternFill>
    </fill>
    <fill>
      <patternFill patternType="solid">
        <fgColor rgb="00D1E7DD"/>
        <bgColor rgb="00D1E7DD"/>
      </patternFill>
    </fill>
    <fill>
      <patternFill patternType="solid">
        <fgColor rgb="006B3E26"/>
        <bgColor rgb="006B3E26"/>
      </patternFill>
    </fill>
    <fill>
      <patternFill patternType="solid">
        <fgColor rgb="001A4870"/>
        <bgColor rgb="001A4870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2D5A27"/>
        <bgColor rgb="002D5A27"/>
      </patternFill>
    </fill>
    <fill>
      <patternFill patternType="solid">
        <fgColor rgb="001B4D3E"/>
        <bgColor rgb="001B4D3E"/>
      </patternFill>
    </fill>
    <fill>
      <patternFill patternType="solid">
        <fgColor rgb="007A3E26"/>
        <bgColor rgb="007A3E26"/>
      </patternFill>
    </fill>
    <fill>
      <patternFill patternType="solid">
        <fgColor rgb="00E6DFD5"/>
        <bgColor rgb="00E6DFD5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555555"/>
      </left>
      <right style="thin">
        <color rgb="00555555"/>
      </right>
      <top style="medium">
        <color rgb="002C1810"/>
      </top>
      <bottom style="medium">
        <color rgb="002C1810"/>
      </bottom>
    </border>
    <border>
      <top style="thin">
        <color rgb="002C1810"/>
      </top>
      <bottom style="double">
        <color rgb="002C1810"/>
      </bottom>
    </border>
    <border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9" fillId="10" borderId="3" applyAlignment="1" pivotButton="0" quotePrefix="0" xfId="0">
      <alignment horizontal="left" vertical="center"/>
    </xf>
    <xf numFmtId="0" fontId="8" fillId="10" borderId="3" applyAlignment="1" pivotButton="0" quotePrefix="0" xfId="0">
      <alignment horizontal="center" vertical="center"/>
    </xf>
    <xf numFmtId="164" fontId="8" fillId="10" borderId="3" applyAlignment="1" pivotButton="0" quotePrefix="0" xfId="0">
      <alignment horizontal="right" vertical="center"/>
    </xf>
    <xf numFmtId="164" fontId="10" fillId="10" borderId="3" applyAlignment="1" pivotButton="0" quotePrefix="0" xfId="0">
      <alignment horizontal="right" vertical="center"/>
    </xf>
    <xf numFmtId="0" fontId="8" fillId="10" borderId="3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left" vertical="center"/>
    </xf>
    <xf numFmtId="0" fontId="12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center" vertical="center"/>
    </xf>
    <xf numFmtId="164" fontId="11" fillId="15" borderId="1" applyAlignment="1" pivotButton="0" quotePrefix="0" xfId="0">
      <alignment horizontal="right" vertical="center"/>
    </xf>
    <xf numFmtId="3" fontId="11" fillId="15" borderId="1" applyAlignment="1" pivotButton="0" quotePrefix="0" xfId="0">
      <alignment horizontal="right" vertical="center"/>
    </xf>
    <xf numFmtId="3" fontId="8" fillId="15" borderId="1" applyAlignment="1" pivotButton="0" quotePrefix="0" xfId="0">
      <alignment horizontal="right" vertical="center"/>
    </xf>
    <xf numFmtId="3" fontId="13" fillId="15" borderId="1" applyAlignment="1" pivotButton="0" quotePrefix="0" xfId="0">
      <alignment horizontal="right" vertical="center"/>
    </xf>
    <xf numFmtId="0" fontId="14" fillId="15" borderId="1" applyAlignment="1" pivotButton="0" quotePrefix="0" xfId="0">
      <alignment horizontal="left" vertical="center"/>
    </xf>
    <xf numFmtId="165" fontId="8" fillId="15" borderId="1" applyAlignment="1" pivotButton="0" quotePrefix="0" xfId="0">
      <alignment horizontal="right" vertical="center"/>
    </xf>
    <xf numFmtId="166" fontId="11" fillId="15" borderId="1" applyAlignment="1" pivotButton="0" quotePrefix="0" xfId="0">
      <alignment horizontal="right" vertical="center"/>
    </xf>
    <xf numFmtId="164" fontId="8" fillId="15" borderId="1" applyAlignment="1" pivotButton="0" quotePrefix="0" xfId="0">
      <alignment horizontal="right" vertical="center"/>
    </xf>
    <xf numFmtId="167" fontId="11" fillId="1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164" fontId="11" fillId="12" borderId="1" applyAlignment="1" pivotButton="0" quotePrefix="0" xfId="0">
      <alignment horizontal="right" vertical="center"/>
    </xf>
    <xf numFmtId="3" fontId="11" fillId="12" borderId="1" applyAlignment="1" pivotButton="0" quotePrefix="0" xfId="0">
      <alignment horizontal="right" vertical="center"/>
    </xf>
    <xf numFmtId="3" fontId="8" fillId="12" borderId="1" applyAlignment="1" pivotButton="0" quotePrefix="0" xfId="0">
      <alignment horizontal="right" vertical="center"/>
    </xf>
    <xf numFmtId="3" fontId="13" fillId="12" borderId="1" applyAlignment="1" pivotButton="0" quotePrefix="0" xfId="0">
      <alignment horizontal="right" vertical="center"/>
    </xf>
    <xf numFmtId="0" fontId="14" fillId="12" borderId="1" applyAlignment="1" pivotButton="0" quotePrefix="0" xfId="0">
      <alignment horizontal="left" vertical="center"/>
    </xf>
    <xf numFmtId="165" fontId="8" fillId="12" borderId="1" applyAlignment="1" pivotButton="0" quotePrefix="0" xfId="0">
      <alignment horizontal="right" vertical="center"/>
    </xf>
    <xf numFmtId="166" fontId="11" fillId="12" borderId="1" applyAlignment="1" pivotButton="0" quotePrefix="0" xfId="0">
      <alignment horizontal="right" vertical="center"/>
    </xf>
    <xf numFmtId="164" fontId="8" fillId="12" borderId="1" applyAlignment="1" pivotButton="0" quotePrefix="0" xfId="0">
      <alignment horizontal="right" vertical="center"/>
    </xf>
    <xf numFmtId="167" fontId="11" fillId="12" borderId="1" applyAlignment="1" pivotButton="0" quotePrefix="0" xfId="0">
      <alignment horizontal="right" vertical="center"/>
    </xf>
    <xf numFmtId="0" fontId="0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16" fillId="10" borderId="4" applyAlignment="1" pivotButton="0" quotePrefix="0" xfId="0">
      <alignment horizontal="right" vertical="center"/>
    </xf>
    <xf numFmtId="0" fontId="0" fillId="10" borderId="4" pivotButton="0" quotePrefix="0" xfId="0"/>
    <xf numFmtId="164" fontId="17" fillId="10" borderId="4" applyAlignment="1" pivotButton="0" quotePrefix="0" xfId="0">
      <alignment horizontal="right" vertical="center"/>
    </xf>
    <xf numFmtId="4" fontId="17" fillId="10" borderId="4" applyAlignment="1" pivotButton="0" quotePrefix="0" xfId="0">
      <alignment horizontal="right" vertical="center"/>
    </xf>
    <xf numFmtId="165" fontId="17" fillId="10" borderId="4" applyAlignment="1" pivotButton="0" quotePrefix="0" xfId="0">
      <alignment horizontal="right" vertical="center"/>
    </xf>
    <xf numFmtId="164" fontId="18" fillId="10" borderId="4" applyAlignment="1" pivotButton="0" quotePrefix="0" xfId="0">
      <alignment horizontal="right" vertical="center"/>
    </xf>
    <xf numFmtId="167" fontId="17" fillId="10" borderId="4" applyAlignment="1" pivotButton="0" quotePrefix="0" xfId="0">
      <alignment horizontal="right" vertical="center"/>
    </xf>
    <xf numFmtId="4" fontId="8" fillId="12" borderId="1" applyAlignment="1" pivotButton="0" quotePrefix="0" xfId="0">
      <alignment horizontal="right" vertical="center"/>
    </xf>
    <xf numFmtId="2" fontId="11" fillId="12" borderId="1" applyAlignment="1" pivotButton="0" quotePrefix="0" xfId="0">
      <alignment horizontal="right" vertical="center"/>
    </xf>
    <xf numFmtId="0" fontId="19" fillId="16" borderId="1" applyAlignment="1" pivotButton="0" quotePrefix="0" xfId="0">
      <alignment horizontal="center" vertical="center"/>
    </xf>
    <xf numFmtId="4" fontId="8" fillId="15" borderId="1" applyAlignment="1" pivotButton="0" quotePrefix="0" xfId="0">
      <alignment horizontal="right" vertical="center"/>
    </xf>
    <xf numFmtId="0" fontId="20" fillId="17" borderId="1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/>
    </xf>
    <xf numFmtId="0" fontId="6" fillId="19" borderId="0" applyAlignment="1" pivotButton="0" quotePrefix="0" xfId="0">
      <alignment horizontal="left" vertical="center"/>
    </xf>
    <xf numFmtId="0" fontId="21" fillId="20" borderId="1" applyAlignment="1" pivotButton="0" quotePrefix="0" xfId="0">
      <alignment horizontal="center" vertical="center"/>
    </xf>
    <xf numFmtId="2" fontId="13" fillId="12" borderId="1" applyAlignment="1" pivotButton="0" quotePrefix="0" xfId="0">
      <alignment horizontal="right" vertical="center"/>
    </xf>
    <xf numFmtId="0" fontId="22" fillId="21" borderId="1" applyAlignment="1" pivotButton="0" quotePrefix="0" xfId="0">
      <alignment horizontal="center" vertical="center"/>
    </xf>
    <xf numFmtId="2" fontId="13" fillId="15" borderId="1" applyAlignment="1" pivotButton="0" quotePrefix="0" xfId="0">
      <alignment horizontal="right" vertical="center"/>
    </xf>
    <xf numFmtId="2" fontId="11" fillId="15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0" fontId="6" fillId="22" borderId="0" applyAlignment="1" pivotButton="0" quotePrefix="0" xfId="0">
      <alignment horizontal="left" vertical="center"/>
    </xf>
    <xf numFmtId="0" fontId="6" fillId="23" borderId="0" applyAlignment="1" pivotButton="0" quotePrefix="0" xfId="0">
      <alignment horizontal="left" vertical="center"/>
    </xf>
    <xf numFmtId="0" fontId="6" fillId="24" borderId="0" applyAlignment="1" pivotButton="0" quotePrefix="0" xfId="0">
      <alignment horizontal="left" vertical="center"/>
    </xf>
    <xf numFmtId="0" fontId="9" fillId="25" borderId="3" applyAlignment="1" pivotButton="0" quotePrefix="0" xfId="0">
      <alignment horizontal="right" vertical="center"/>
    </xf>
    <xf numFmtId="0" fontId="0" fillId="25" borderId="3" pivotButton="0" quotePrefix="0" xfId="0"/>
    <xf numFmtId="164" fontId="8" fillId="25" borderId="3" applyAlignment="1" pivotButton="0" quotePrefix="0" xfId="0">
      <alignment horizontal="right" vertical="center"/>
    </xf>
    <xf numFmtId="164" fontId="10" fillId="25" borderId="3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0" fontId="23" fillId="20" borderId="3" applyAlignment="1" pivotButton="0" quotePrefix="0" xfId="0">
      <alignment horizontal="right" vertical="center"/>
    </xf>
    <xf numFmtId="0" fontId="0" fillId="20" borderId="3" pivotButton="0" quotePrefix="0" xfId="0"/>
    <xf numFmtId="164" fontId="24" fillId="2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  <col width="10" customWidth="1" min="9" max="9"/>
    <col width="10" customWidth="1" min="10" max="10"/>
    <col width="42" customWidth="1" min="11" max="11"/>
  </cols>
  <sheetData>
    <row r="1" ht="40" customHeight="1">
      <c r="A1" s="1" t="inlineStr">
        <is>
          <t>ESPRESSO YOURSELF &amp; TEA HOUSE — INVENTORY RECONCILIATION AUDIT</t>
        </is>
      </c>
    </row>
    <row r="2" ht="24" customHeight="1">
      <c r="A2" s="2" t="inlineStr">
        <is>
          <t>Branch: Cebu City (#30)  |  Audit Date: September 22, 2026  |  Beginning Stocks (Aug 8) + Deliveries (Aug 13 - Sept 3) vs Current Physical &amp; POS</t>
        </is>
      </c>
    </row>
    <row r="4" ht="20" customHeight="1">
      <c r="A4" s="3" t="inlineStr">
        <is>
          <t>TOTAL ITEMS AUDITED</t>
        </is>
      </c>
      <c r="B4" s="4" t="n"/>
      <c r="C4" s="5" t="inlineStr">
        <is>
          <t>BEGINNING STOCKS (AUG 8)</t>
        </is>
      </c>
      <c r="D4" s="4" t="n"/>
      <c r="E4" s="6" t="inlineStr">
        <is>
          <t>ADDITIONAL RESTOCKING</t>
        </is>
      </c>
      <c r="F4" s="4" t="n"/>
      <c r="G4" s="7" t="inlineStr">
        <is>
          <t>CURRENT PHYSICAL VALUE</t>
        </is>
      </c>
      <c r="H4" s="4" t="n"/>
      <c r="I4" s="8" t="inlineStr">
        <is>
          <t>OUT OF STOCK (URGENT)</t>
        </is>
      </c>
      <c r="K4" s="4" t="n"/>
    </row>
    <row r="5" ht="32" customHeight="1">
      <c r="A5" s="9" t="inlineStr">
        <is>
          <t>59 Items</t>
        </is>
      </c>
      <c r="B5" s="4" t="n"/>
      <c r="C5" s="9" t="inlineStr">
        <is>
          <t>₱16,846.50</t>
        </is>
      </c>
      <c r="D5" s="4" t="n"/>
      <c r="E5" s="9" t="inlineStr">
        <is>
          <t>₱64,960.50</t>
        </is>
      </c>
      <c r="F5" s="4" t="n"/>
      <c r="G5" s="9" t="inlineStr">
        <is>
          <t>₱63,771.18</t>
        </is>
      </c>
      <c r="H5" s="4" t="n"/>
      <c r="I5" s="9" t="inlineStr">
        <is>
          <t>3 Items</t>
        </is>
      </c>
      <c r="K5" s="4" t="n"/>
    </row>
    <row r="6" ht="20" customHeight="1">
      <c r="A6" s="10" t="inlineStr">
        <is>
          <t>Full Store Coverage</t>
        </is>
      </c>
      <c r="B6" s="4" t="n"/>
      <c r="C6" s="10" t="inlineStr">
        <is>
          <t>Initial Store Delivery</t>
        </is>
      </c>
      <c r="D6" s="4" t="n"/>
      <c r="E6" s="10" t="inlineStr">
        <is>
          <t>Aug 13, 24, Sept 2 &amp; 3</t>
        </is>
      </c>
      <c r="F6" s="4" t="n"/>
      <c r="G6" s="10" t="inlineStr">
        <is>
          <t>Current Store Valuation</t>
        </is>
      </c>
      <c r="H6" s="4" t="n"/>
      <c r="I6" s="10" t="inlineStr">
        <is>
          <t>Immediate Restock Required</t>
        </is>
      </c>
      <c r="K6" s="4" t="n"/>
    </row>
    <row r="8" ht="26" customHeight="1">
      <c r="A8" s="11" t="inlineStr">
        <is>
          <t>📊 DEPARTMENT INVENTORY FLOW: BEGINNING STOCKS → ADDITIONAL RESTOCKS → CURRENT VALUE</t>
        </is>
      </c>
    </row>
    <row r="9" ht="25" customHeight="1">
      <c r="A9" s="12" t="inlineStr">
        <is>
          <t>Category / Department</t>
        </is>
      </c>
      <c r="B9" s="13" t="inlineStr">
        <is>
          <t>Items</t>
        </is>
      </c>
      <c r="C9" s="14" t="inlineStr">
        <is>
          <t>Beginning Val (₱)</t>
        </is>
      </c>
      <c r="D9" s="14" t="inlineStr">
        <is>
          <t>Additional Val (₱)</t>
        </is>
      </c>
      <c r="E9" s="14" t="inlineStr">
        <is>
          <t>Total Available (₱)</t>
        </is>
      </c>
      <c r="F9" s="14" t="inlineStr">
        <is>
          <t>Current Stock (₱)</t>
        </is>
      </c>
      <c r="G9" s="14" t="inlineStr">
        <is>
          <t>Total Consumed (₱)</t>
        </is>
      </c>
      <c r="H9" s="13" t="inlineStr">
        <is>
          <t>Matches</t>
        </is>
      </c>
      <c r="I9" s="13" t="inlineStr">
        <is>
          <t>Low</t>
        </is>
      </c>
      <c r="J9" s="13" t="inlineStr">
        <is>
          <t>OOS</t>
        </is>
      </c>
      <c r="K9" s="12" t="inlineStr">
        <is>
          <t>Operational Recommendation</t>
        </is>
      </c>
    </row>
    <row r="10" ht="22" customHeight="1">
      <c r="A10" s="15" t="inlineStr">
        <is>
          <t>1. Cups &amp; Packaging Consumables</t>
        </is>
      </c>
      <c r="B10" s="16" t="n">
        <v>3</v>
      </c>
      <c r="C10" s="17">
        <f>'📋 Complete Inventory Audit'!E9*1</f>
        <v/>
      </c>
      <c r="D10" s="17">
        <f>'📋 Complete Inventory Audit'!F9*1</f>
        <v/>
      </c>
      <c r="E10" s="17">
        <f>C10+D10</f>
        <v/>
      </c>
      <c r="F10" s="18">
        <f>'📋 Complete Inventory Audit'!M9</f>
        <v/>
      </c>
      <c r="G10" s="17">
        <f>E10-F10</f>
        <v/>
      </c>
      <c r="H10" s="16" t="n">
        <v>0</v>
      </c>
      <c r="I10" s="16" t="n">
        <v>0</v>
      </c>
      <c r="J10" s="16" t="n">
        <v>0</v>
      </c>
      <c r="K10" s="19" t="inlineStr">
        <is>
          <t>Healthy stock. All 3 cup sizes sufficient for high drink volume.</t>
        </is>
      </c>
    </row>
    <row r="11" ht="22" customHeight="1">
      <c r="A11" s="15" t="inlineStr">
        <is>
          <t>2. Coffee Beans &amp; Specialty Roasts</t>
        </is>
      </c>
      <c r="B11" s="16" t="n">
        <v>2</v>
      </c>
      <c r="C11" s="17">
        <f>'📋 Complete Inventory Audit'!E13*1</f>
        <v/>
      </c>
      <c r="D11" s="17">
        <f>'📋 Complete Inventory Audit'!F13*1</f>
        <v/>
      </c>
      <c r="E11" s="17">
        <f>C11+D11</f>
        <v/>
      </c>
      <c r="F11" s="18">
        <f>'📋 Complete Inventory Audit'!M13</f>
        <v/>
      </c>
      <c r="G11" s="17">
        <f>E11-F11</f>
        <v/>
      </c>
      <c r="H11" s="16" t="n">
        <v>1</v>
      </c>
      <c r="I11" s="16" t="n">
        <v>0</v>
      </c>
      <c r="J11" s="16" t="n">
        <v>0</v>
      </c>
      <c r="K11" s="19" t="inlineStr">
        <is>
          <t>Australia's Own 100% match. 3kg Concept Blend left (7kg ground).</t>
        </is>
      </c>
    </row>
    <row r="12" ht="22" customHeight="1">
      <c r="A12" s="15" t="inlineStr">
        <is>
          <t>3. Torani Flavor Syrups &amp; Purées</t>
        </is>
      </c>
      <c r="B12" s="16" t="n">
        <v>12</v>
      </c>
      <c r="C12" s="17">
        <f>'📋 Complete Inventory Audit'!E27*1</f>
        <v/>
      </c>
      <c r="D12" s="17">
        <f>'📋 Complete Inventory Audit'!F27*1</f>
        <v/>
      </c>
      <c r="E12" s="17">
        <f>C12+D12</f>
        <v/>
      </c>
      <c r="F12" s="18">
        <f>'📋 Complete Inventory Audit'!M27</f>
        <v/>
      </c>
      <c r="G12" s="17">
        <f>E12-F12</f>
        <v/>
      </c>
      <c r="H12" s="16" t="n">
        <v>12</v>
      </c>
      <c r="I12" s="16" t="n">
        <v>0</v>
      </c>
      <c r="J12" s="16" t="n">
        <v>0</v>
      </c>
      <c r="K12" s="19" t="inlineStr">
        <is>
          <t>All 12 Torani bottles and gallons match POS records exactly.</t>
        </is>
      </c>
    </row>
    <row r="13" ht="22" customHeight="1">
      <c r="A13" s="15" t="inlineStr">
        <is>
          <t>4. SHOTT New Zealand Syrups</t>
        </is>
      </c>
      <c r="B13" s="16" t="n">
        <v>7</v>
      </c>
      <c r="C13" s="17">
        <f>'📋 Complete Inventory Audit'!E36*1</f>
        <v/>
      </c>
      <c r="D13" s="17">
        <f>'📋 Complete Inventory Audit'!F36*1</f>
        <v/>
      </c>
      <c r="E13" s="17">
        <f>C13+D13</f>
        <v/>
      </c>
      <c r="F13" s="18">
        <f>'📋 Complete Inventory Audit'!M36</f>
        <v/>
      </c>
      <c r="G13" s="17">
        <f>E13-F13</f>
        <v/>
      </c>
      <c r="H13" s="16" t="n">
        <v>3</v>
      </c>
      <c r="I13" s="16" t="n">
        <v>2</v>
      </c>
      <c r="J13" s="16" t="n">
        <v>1</v>
      </c>
      <c r="K13" s="19" t="inlineStr">
        <is>
          <t>Pink Guava EMPTY! Mango &amp; Pomegranate low (&lt;250ml). Order restock.</t>
        </is>
      </c>
    </row>
    <row r="14" ht="22" customHeight="1">
      <c r="A14" s="15" t="inlineStr">
        <is>
          <t>5. Condiments, Spreads &amp; Mixes</t>
        </is>
      </c>
      <c r="B14" s="16" t="n">
        <v>6</v>
      </c>
      <c r="C14" s="17">
        <f>'📋 Complete Inventory Audit'!E44*1</f>
        <v/>
      </c>
      <c r="D14" s="17">
        <f>'📋 Complete Inventory Audit'!F44*1</f>
        <v/>
      </c>
      <c r="E14" s="17">
        <f>C14+D14</f>
        <v/>
      </c>
      <c r="F14" s="18">
        <f>'📋 Complete Inventory Audit'!M44</f>
        <v/>
      </c>
      <c r="G14" s="17">
        <f>E14-F14</f>
        <v/>
      </c>
      <c r="H14" s="16" t="n">
        <v>0</v>
      </c>
      <c r="I14" s="16" t="n">
        <v>0</v>
      </c>
      <c r="J14" s="16" t="n">
        <v>0</v>
      </c>
      <c r="K14" s="19" t="inlineStr">
        <is>
          <t>12+ cans condensed milk, active caramel fudge and Biscoff sauces.</t>
        </is>
      </c>
    </row>
    <row r="15" ht="22" customHeight="1">
      <c r="A15" s="15" t="inlineStr">
        <is>
          <t>6. Powders &amp; Brewing Tea Leaves</t>
        </is>
      </c>
      <c r="B15" s="16" t="n">
        <v>7</v>
      </c>
      <c r="C15" s="17">
        <f>'📋 Complete Inventory Audit'!E53*1</f>
        <v/>
      </c>
      <c r="D15" s="17">
        <f>'📋 Complete Inventory Audit'!F53*1</f>
        <v/>
      </c>
      <c r="E15" s="17">
        <f>C15+D15</f>
        <v/>
      </c>
      <c r="F15" s="18">
        <f>'📋 Complete Inventory Audit'!M53</f>
        <v/>
      </c>
      <c r="G15" s="17">
        <f>E15-F15</f>
        <v/>
      </c>
      <c r="H15" s="16" t="n">
        <v>3</v>
      </c>
      <c r="I15" s="16" t="n">
        <v>0</v>
      </c>
      <c r="J15" s="16" t="n">
        <v>0</v>
      </c>
      <c r="K15" s="19" t="inlineStr">
        <is>
          <t>Jasmine Tea (597g) &amp; Matcha (101g) match. Choco powder has +612g reserve.</t>
        </is>
      </c>
    </row>
    <row r="16" ht="22" customHeight="1">
      <c r="A16" s="15" t="inlineStr">
        <is>
          <t>7. Dilmah Specialty Tea Packs</t>
        </is>
      </c>
      <c r="B16" s="16" t="n">
        <v>6</v>
      </c>
      <c r="C16" s="17">
        <f>'📋 Complete Inventory Audit'!E61*1</f>
        <v/>
      </c>
      <c r="D16" s="17">
        <f>'📋 Complete Inventory Audit'!F61*1</f>
        <v/>
      </c>
      <c r="E16" s="17">
        <f>C16+D16</f>
        <v/>
      </c>
      <c r="F16" s="18">
        <f>'📋 Complete Inventory Audit'!M61</f>
        <v/>
      </c>
      <c r="G16" s="17">
        <f>E16-F16</f>
        <v/>
      </c>
      <c r="H16" s="16" t="n">
        <v>6</v>
      </c>
      <c r="I16" s="16" t="n">
        <v>0</v>
      </c>
      <c r="J16" s="16" t="n">
        <v>0</v>
      </c>
      <c r="K16" s="19" t="inlineStr">
        <is>
          <t>Flawless tracking: Chamomile, Green, Oolong, Jasmine 100/100, Mint 98/98!</t>
        </is>
      </c>
    </row>
    <row r="17" ht="22" customHeight="1">
      <c r="A17" s="15" t="inlineStr">
        <is>
          <t>8. Grab-and-Go Retail Snacks</t>
        </is>
      </c>
      <c r="B17" s="16" t="n">
        <v>5</v>
      </c>
      <c r="C17" s="17">
        <f>'📋 Complete Inventory Audit'!E68*1</f>
        <v/>
      </c>
      <c r="D17" s="17">
        <f>'📋 Complete Inventory Audit'!F68*1</f>
        <v/>
      </c>
      <c r="E17" s="17">
        <f>C17+D17</f>
        <v/>
      </c>
      <c r="F17" s="18">
        <f>'📋 Complete Inventory Audit'!M68</f>
        <v/>
      </c>
      <c r="G17" s="17">
        <f>E17-F17</f>
        <v/>
      </c>
      <c r="H17" s="16" t="n">
        <v>0</v>
      </c>
      <c r="I17" s="16" t="n">
        <v>3</v>
      </c>
      <c r="J17" s="16" t="n">
        <v>1</v>
      </c>
      <c r="K17" s="19" t="inlineStr">
        <is>
          <t>Pringles Sour Cream EMPTY. Cheddar, Original, Cheetos at 3 left!</t>
        </is>
      </c>
    </row>
    <row r="18" ht="22" customHeight="1">
      <c r="A18" s="15" t="inlineStr">
        <is>
          <t>9. Retail Drinks, Water &amp; Beers</t>
        </is>
      </c>
      <c r="B18" s="16" t="n">
        <v>11</v>
      </c>
      <c r="C18" s="17">
        <f>'📋 Complete Inventory Audit'!E81*1</f>
        <v/>
      </c>
      <c r="D18" s="17">
        <f>'📋 Complete Inventory Audit'!F81*1</f>
        <v/>
      </c>
      <c r="E18" s="17">
        <f>C18+D18</f>
        <v/>
      </c>
      <c r="F18" s="18">
        <f>'📋 Complete Inventory Audit'!M81</f>
        <v/>
      </c>
      <c r="G18" s="17">
        <f>E18-F18</f>
        <v/>
      </c>
      <c r="H18" s="16" t="n">
        <v>3</v>
      </c>
      <c r="I18" s="16" t="n">
        <v>2</v>
      </c>
      <c r="J18" s="16" t="n">
        <v>1</v>
      </c>
      <c r="K18" s="19" t="inlineStr">
        <is>
          <t>Nature Spring 500ml EMPTY (54 sold). Nature Spring 1L is 100% match (15pcs)!</t>
        </is>
      </c>
    </row>
    <row r="19" ht="26" customHeight="1">
      <c r="A19" s="20" t="inlineStr">
        <is>
          <t>TOTAL / STOREWIDE VALUATION:</t>
        </is>
      </c>
      <c r="B19" s="21">
        <f>SUM(B10:B18)</f>
        <v/>
      </c>
      <c r="C19" s="22">
        <f>SUM(C10:C18)</f>
        <v/>
      </c>
      <c r="D19" s="22">
        <f>SUM(D10:D18)</f>
        <v/>
      </c>
      <c r="E19" s="22">
        <f>SUM(E10:E18)</f>
        <v/>
      </c>
      <c r="F19" s="23">
        <f>SUM(F10:F18)</f>
        <v/>
      </c>
      <c r="G19" s="22">
        <f>SUM(G10:G18)</f>
        <v/>
      </c>
      <c r="H19" s="21">
        <f>SUM(H10:H18)</f>
        <v/>
      </c>
      <c r="I19" s="21">
        <f>SUM(I10:I18)</f>
        <v/>
      </c>
      <c r="J19" s="21">
        <f>SUM(J10:J18)</f>
        <v/>
      </c>
      <c r="K19" s="24" t="inlineStr">
        <is>
          <t>Urgent restock required for 3 out-of-stock items.</t>
        </is>
      </c>
    </row>
    <row r="20" ht="24" customHeight="1">
      <c r="A20" s="25" t="inlineStr">
        <is>
          <t>💡 AUDITOR &amp; BARISTA KEY TAKEAWAYS FOR ESPRESSO YOURSELF &amp; TEA HOUSE</t>
        </is>
      </c>
    </row>
    <row r="21" ht="24" customHeight="1">
      <c r="A21" s="26" t="inlineStr">
        <is>
          <t>1. Complete Delivery Traceability</t>
        </is>
      </c>
      <c r="B21" s="4" t="n"/>
      <c r="C21" s="4" t="n"/>
      <c r="D21" s="27" t="inlineStr">
        <is>
          <t>Every single stock movement has been mapped from the official record (Espresso-Beginning Stocks (5).xlsx): Beginning Inventory (Aug 8) + 4 successive replenishment deliveries (Aug 13, Aug 24, Sept 2, Sept 3).</t>
        </is>
      </c>
      <c r="E21" s="4" t="n"/>
      <c r="F21" s="4" t="n"/>
      <c r="G21" s="4" t="n"/>
      <c r="H21" s="4" t="n"/>
      <c r="I21" s="4" t="n"/>
      <c r="J21" s="4" t="n"/>
      <c r="K21" s="4" t="n"/>
    </row>
    <row r="22" ht="24" customHeight="1">
      <c r="A22" s="26" t="inlineStr">
        <is>
          <t>2. Flawless Alignment on Teas &amp; Syrups</t>
        </is>
      </c>
      <c r="B22" s="4" t="n"/>
      <c r="C22" s="4" t="n"/>
      <c r="D22" s="27" t="inlineStr">
        <is>
          <t>Dilmah Specialty Teas showed an astounding match (100 Chamomile, 98 Peppermint, 100 Green, 100 Oolong, 100 Jasmine Green, 93 Earl Grey). All 12 Torani Syrups and purees match 100% with the POS inventory system.</t>
        </is>
      </c>
      <c r="E22" s="4" t="n"/>
      <c r="F22" s="4" t="n"/>
      <c r="G22" s="4" t="n"/>
      <c r="H22" s="4" t="n"/>
      <c r="I22" s="4" t="n"/>
      <c r="J22" s="4" t="n"/>
      <c r="K22" s="4" t="n"/>
    </row>
    <row r="23" ht="24" customHeight="1">
      <c r="A23" s="26" t="inlineStr">
        <is>
          <t>3. Perfect Mathematical Match on Nature Spring 1L</t>
        </is>
      </c>
      <c r="B23" s="4" t="n"/>
      <c r="C23" s="4" t="n"/>
      <c r="D23" s="27" t="inlineStr">
        <is>
          <t>Nature Spring 1L started at 20 bottles delivery; the POS recorded exactly 5 customer sales, and the physical count found EXACTLY 15 bottles (20 - 5 = 15). Zero shrinkage!</t>
        </is>
      </c>
      <c r="E23" s="4" t="n"/>
      <c r="F23" s="4" t="n"/>
      <c r="G23" s="4" t="n"/>
      <c r="H23" s="4" t="n"/>
      <c r="I23" s="4" t="n"/>
      <c r="J23" s="4" t="n"/>
      <c r="K23" s="4" t="n"/>
    </row>
    <row r="24" ht="24" customHeight="1">
      <c r="A24" s="26" t="inlineStr">
        <is>
          <t>4. Critical Out-of-Stock Alert: Nature Spring 500ml</t>
        </is>
      </c>
      <c r="B24" s="4" t="n"/>
      <c r="C24" s="4" t="n"/>
      <c r="D24" s="27" t="inlineStr">
        <is>
          <t>Nature Spring 500ml is completely EMPTY. All 35+ bottles delivered on Aug 24 were sold. Customers will be turned away without water. Urgent reorder of 2-3 cases needed today!</t>
        </is>
      </c>
      <c r="E24" s="4" t="n"/>
      <c r="F24" s="4" t="n"/>
      <c r="G24" s="4" t="n"/>
      <c r="H24" s="4" t="n"/>
      <c r="I24" s="4" t="n"/>
      <c r="J24" s="4" t="n"/>
      <c r="K24" s="4" t="n"/>
    </row>
    <row r="25" ht="24" customHeight="1">
      <c r="A25" s="26" t="inlineStr">
        <is>
          <t>5. Urgent Snack Reorder (Pringles &amp; Cheetos)</t>
        </is>
      </c>
      <c r="B25" s="4" t="n"/>
      <c r="C25" s="4" t="n"/>
      <c r="D25" s="27" t="inlineStr">
        <is>
          <t>Pringles Sour Cream is EMPTY (all 3 sold). Pringles Cheddar, Original, and Cheetos each have only 3 units remaining. Restock before the weekend.</t>
        </is>
      </c>
      <c r="E25" s="4" t="n"/>
      <c r="F25" s="4" t="n"/>
      <c r="G25" s="4" t="n"/>
      <c r="H25" s="4" t="n"/>
      <c r="I25" s="4" t="n"/>
      <c r="J25" s="4" t="n"/>
      <c r="K25" s="4" t="n"/>
    </row>
    <row r="26" ht="24" customHeight="1">
      <c r="A26" s="26" t="inlineStr">
        <is>
          <t>6. High Consumption Items</t>
        </is>
      </c>
      <c r="B26" s="4" t="n"/>
      <c r="C26" s="4" t="n"/>
      <c r="D26" s="27" t="inlineStr">
        <is>
          <t>Concept Blend 1 Coffee Beans: 7kg ground from 10kg beginning stock (3kg left). Doreen Condensed Milk: 11.47 cans consumed from 24 cans beginning stock (12.53 cans left). Sugar syrup: 8 bottles used from 11 bottles available (3 bottles left).</t>
        </is>
      </c>
      <c r="E26" s="4" t="n"/>
      <c r="F26" s="4" t="n"/>
      <c r="G26" s="4" t="n"/>
      <c r="H26" s="4" t="n"/>
      <c r="I26" s="4" t="n"/>
      <c r="J26" s="4" t="n"/>
      <c r="K26" s="4" t="n"/>
    </row>
  </sheetData>
  <mergeCells count="31">
    <mergeCell ref="A25:C25"/>
    <mergeCell ref="D26:K26"/>
    <mergeCell ref="C6:D6"/>
    <mergeCell ref="C5:D5"/>
    <mergeCell ref="E5:F5"/>
    <mergeCell ref="A21:C21"/>
    <mergeCell ref="D22:K22"/>
    <mergeCell ref="A1:K1"/>
    <mergeCell ref="A6:B6"/>
    <mergeCell ref="A26:C26"/>
    <mergeCell ref="C4:D4"/>
    <mergeCell ref="E4:F4"/>
    <mergeCell ref="D21:K21"/>
    <mergeCell ref="A23:C23"/>
    <mergeCell ref="I5:K5"/>
    <mergeCell ref="A22:C22"/>
    <mergeCell ref="G6:H6"/>
    <mergeCell ref="I4:K4"/>
    <mergeCell ref="E6:F6"/>
    <mergeCell ref="A5:B5"/>
    <mergeCell ref="A2:K2"/>
    <mergeCell ref="G5:H5"/>
    <mergeCell ref="A24:C24"/>
    <mergeCell ref="I6:K6"/>
    <mergeCell ref="A4:B4"/>
    <mergeCell ref="G4:H4"/>
    <mergeCell ref="A8:K8"/>
    <mergeCell ref="A20:K20"/>
    <mergeCell ref="D25:K25"/>
    <mergeCell ref="D24:K24"/>
    <mergeCell ref="D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4" customWidth="1" min="2" max="2"/>
    <col width="11" customWidth="1" min="3" max="3"/>
    <col width="13" customWidth="1" min="4" max="4"/>
    <col width="15" customWidth="1" min="5" max="5"/>
    <col width="16" customWidth="1" min="6" max="6"/>
    <col width="15" customWidth="1" min="7" max="7"/>
    <col width="17" customWidth="1" min="8" max="8"/>
    <col width="24" customWidth="1" min="9" max="9"/>
    <col width="14" customWidth="1" min="10" max="10"/>
    <col width="14" customWidth="1" min="11" max="11"/>
    <col width="15" customWidth="1" min="12" max="12"/>
    <col width="18" customWidth="1" min="13" max="13"/>
    <col width="16" customWidth="1" min="14" max="14"/>
    <col width="18" customWidth="1" min="15" max="15"/>
    <col width="8" customWidth="1" min="16" max="16"/>
    <col width="48" customWidth="1" min="17" max="17"/>
  </cols>
  <sheetData>
    <row r="1" ht="36" customHeight="1">
      <c r="A1" s="1" t="inlineStr">
        <is>
          <t>ESPRESSO YOURSELF &amp; TEA HOUSE — COMPREHENSIVE INVENTORY RECONCILIATION</t>
        </is>
      </c>
    </row>
    <row r="2" ht="22" customHeight="1">
      <c r="A2" s="2" t="inlineStr">
        <is>
          <t>Branch #30 (Cebu City)  |  Beginning Stocks (Aug 8) + Deliveries (Aug 13 - Sept 3) vs Current Physical &amp; POS Stock  |  Audit Date: September 22, 2026</t>
        </is>
      </c>
    </row>
    <row r="4" ht="32" customHeight="1">
      <c r="A4" s="28" t="inlineStr">
        <is>
          <t>SKU / Code</t>
        </is>
      </c>
      <c r="B4" s="28" t="inlineStr">
        <is>
          <t>Item Description &amp; Specifications</t>
        </is>
      </c>
      <c r="C4" s="28" t="inlineStr">
        <is>
          <t>UOM</t>
        </is>
      </c>
      <c r="D4" s="28" t="inlineStr">
        <is>
          <t>Unit Cost (₱)</t>
        </is>
      </c>
      <c r="E4" s="28" t="inlineStr">
        <is>
          <t>Beginning Stock
(Aug 8)</t>
        </is>
      </c>
      <c r="F4" s="28" t="inlineStr">
        <is>
          <t>Additional Stock
(Aug 13 - Sept 3)</t>
        </is>
      </c>
      <c r="G4" s="28" t="inlineStr">
        <is>
          <t>Total Available
Stock</t>
        </is>
      </c>
      <c r="H4" s="28" t="inlineStr">
        <is>
          <t>★ Inventory Now ★
(Physical Count)</t>
        </is>
      </c>
      <c r="I4" s="28" t="inlineStr">
        <is>
          <t>Barista Raw Note
(Input)</t>
        </is>
      </c>
      <c r="J4" s="28" t="inlineStr">
        <is>
          <t>POS System
Stock</t>
        </is>
      </c>
      <c r="K4" s="28" t="inlineStr">
        <is>
          <t>Variance
(Phys - POS)</t>
        </is>
      </c>
      <c r="L4" s="28" t="inlineStr">
        <is>
          <t>Total Consumed
/ Sold</t>
        </is>
      </c>
      <c r="M4" s="28" t="inlineStr">
        <is>
          <t>Current Physical
Value (₱)</t>
        </is>
      </c>
      <c r="N4" s="28" t="inlineStr">
        <is>
          <t>Variance Value
(₱)</t>
        </is>
      </c>
      <c r="O4" s="28" t="inlineStr">
        <is>
          <t>Audit Status</t>
        </is>
      </c>
      <c r="P4" s="28" t="inlineStr">
        <is>
          <t>Flag</t>
        </is>
      </c>
      <c r="Q4" s="28" t="inlineStr">
        <is>
          <t>Delivery Source &amp; Operational Remarks</t>
        </is>
      </c>
    </row>
    <row r="5" ht="24" customHeight="1">
      <c r="A5" s="29" t="inlineStr">
        <is>
          <t>📦  1. CUPS &amp; PACKAGING CONSUMABLES</t>
        </is>
      </c>
    </row>
    <row r="6" ht="22" customHeight="1">
      <c r="A6" s="30" t="inlineStr">
        <is>
          <t>PKG-001</t>
        </is>
      </c>
      <c r="B6" s="31" t="inlineStr">
        <is>
          <t>Plastic Cup 16oz (Cold PET)</t>
        </is>
      </c>
      <c r="C6" s="32" t="inlineStr">
        <is>
          <t>pcs</t>
        </is>
      </c>
      <c r="D6" s="33" t="n">
        <v>2.8</v>
      </c>
      <c r="E6" s="34" t="n">
        <v>300</v>
      </c>
      <c r="F6" s="34" t="n">
        <v>500</v>
      </c>
      <c r="G6" s="35">
        <f>E6+F6</f>
        <v/>
      </c>
      <c r="H6" s="36" t="n">
        <v>709</v>
      </c>
      <c r="I6" s="37" t="inlineStr">
        <is>
          <t>709pcs</t>
        </is>
      </c>
      <c r="J6" s="34" t="n">
        <v>300</v>
      </c>
      <c r="K6" s="38">
        <f>H6-J6</f>
        <v/>
      </c>
      <c r="L6" s="39">
        <f>G6-H6</f>
        <v/>
      </c>
      <c r="M6" s="40">
        <f>H6*D6</f>
        <v/>
      </c>
      <c r="N6" s="41">
        <f>K6*D6</f>
        <v/>
      </c>
      <c r="O6" s="42" t="inlineStr">
        <is>
          <t>🔺 SURPLUS / RESTOCK</t>
        </is>
      </c>
      <c r="P6" s="43" t="inlineStr">
        <is>
          <t>🔵</t>
        </is>
      </c>
      <c r="Q6" s="44" t="inlineStr">
        <is>
          <t>Initial setup 300pcs + restock batches. Healthy inventory (14.2 sleeves on hand).</t>
        </is>
      </c>
    </row>
    <row r="7" ht="22" customHeight="1">
      <c r="A7" s="45" t="inlineStr">
        <is>
          <t>PKG-002</t>
        </is>
      </c>
      <c r="B7" s="46" t="inlineStr">
        <is>
          <t>Paper Cup 16oz (Hot Large)</t>
        </is>
      </c>
      <c r="C7" s="47" t="inlineStr">
        <is>
          <t>pcs</t>
        </is>
      </c>
      <c r="D7" s="48" t="n">
        <v>2.8</v>
      </c>
      <c r="E7" s="49" t="n">
        <v>300</v>
      </c>
      <c r="F7" s="49" t="n">
        <v>400</v>
      </c>
      <c r="G7" s="50">
        <f>E7+F7</f>
        <v/>
      </c>
      <c r="H7" s="51" t="n">
        <v>626</v>
      </c>
      <c r="I7" s="52" t="inlineStr">
        <is>
          <t>626</t>
        </is>
      </c>
      <c r="J7" s="49" t="n">
        <v>300</v>
      </c>
      <c r="K7" s="53">
        <f>H7-J7</f>
        <v/>
      </c>
      <c r="L7" s="54">
        <f>G7-H7</f>
        <v/>
      </c>
      <c r="M7" s="55">
        <f>H7*D7</f>
        <v/>
      </c>
      <c r="N7" s="56">
        <f>K7*D7</f>
        <v/>
      </c>
      <c r="O7" s="42" t="inlineStr">
        <is>
          <t>🔺 SURPLUS / RESTOCK</t>
        </is>
      </c>
      <c r="P7" s="57" t="inlineStr">
        <is>
          <t>🔵</t>
        </is>
      </c>
      <c r="Q7" s="58" t="inlineStr">
        <is>
          <t>Initial setup 300pcs + deliveries. Sufficient for large hot lattes (12.5 sleeves).</t>
        </is>
      </c>
    </row>
    <row r="8" ht="22" customHeight="1">
      <c r="A8" s="30" t="inlineStr">
        <is>
          <t>PKG-003</t>
        </is>
      </c>
      <c r="B8" s="31" t="inlineStr">
        <is>
          <t>Paper Cup 8oz (Hot Small)</t>
        </is>
      </c>
      <c r="C8" s="32" t="inlineStr">
        <is>
          <t>pcs</t>
        </is>
      </c>
      <c r="D8" s="33" t="n">
        <v>2.4</v>
      </c>
      <c r="E8" s="34" t="n">
        <v>250</v>
      </c>
      <c r="F8" s="34" t="n">
        <v>750</v>
      </c>
      <c r="G8" s="35">
        <f>E8+F8</f>
        <v/>
      </c>
      <c r="H8" s="36" t="n">
        <v>925</v>
      </c>
      <c r="I8" s="37" t="inlineStr">
        <is>
          <t>925</t>
        </is>
      </c>
      <c r="J8" s="34" t="n">
        <v>250</v>
      </c>
      <c r="K8" s="38">
        <f>H8-J8</f>
        <v/>
      </c>
      <c r="L8" s="39">
        <f>G8-H8</f>
        <v/>
      </c>
      <c r="M8" s="40">
        <f>H8*D8</f>
        <v/>
      </c>
      <c r="N8" s="41">
        <f>K8*D8</f>
        <v/>
      </c>
      <c r="O8" s="42" t="inlineStr">
        <is>
          <t>🔺 SURPLUS / RESTOCK</t>
        </is>
      </c>
      <c r="P8" s="43" t="inlineStr">
        <is>
          <t>🔵</t>
        </is>
      </c>
      <c r="Q8" s="44" t="inlineStr">
        <is>
          <t>Initial setup 250pcs + sleeve delivery. Abundant stock for small hot drinks (18.5 sleeves).</t>
        </is>
      </c>
    </row>
    <row r="9" ht="22" customHeight="1">
      <c r="A9" s="59" t="inlineStr">
        <is>
          <t>Subtotal — 1. CUPS &amp; PACKAGING CONSUMABLES:</t>
        </is>
      </c>
      <c r="B9" s="60" t="n"/>
      <c r="C9" s="60" t="n"/>
      <c r="D9" s="60" t="n"/>
      <c r="E9" s="61">
        <f>SUMPRODUCT(D6:D8, E6:E8)</f>
        <v/>
      </c>
      <c r="F9" s="61">
        <f>SUMPRODUCT(D6:D8, F6:F8)</f>
        <v/>
      </c>
      <c r="G9" s="61">
        <f>E9+F9</f>
        <v/>
      </c>
      <c r="H9" s="62">
        <f>SUM(H6:H8)</f>
        <v/>
      </c>
      <c r="I9" s="60" t="n"/>
      <c r="J9" s="62">
        <f>SUM(J6:J8)</f>
        <v/>
      </c>
      <c r="K9" s="63">
        <f>SUM(K6:K8)</f>
        <v/>
      </c>
      <c r="L9" s="61">
        <f>SUMPRODUCT(D6:D8, L6:L8)</f>
        <v/>
      </c>
      <c r="M9" s="64">
        <f>SUM(M6:M8)</f>
        <v/>
      </c>
      <c r="N9" s="65">
        <f>SUM(N6:N8)</f>
        <v/>
      </c>
      <c r="O9" s="60" t="n"/>
      <c r="P9" s="60" t="n"/>
      <c r="Q9" s="60" t="n"/>
    </row>
    <row r="10" ht="24" customHeight="1">
      <c r="A10" s="25" t="inlineStr">
        <is>
          <t>☕  2. COFFEE BEANS &amp; SPECIALTY ROASTS</t>
        </is>
      </c>
    </row>
    <row r="11" ht="22" customHeight="1">
      <c r="A11" s="45" t="inlineStr">
        <is>
          <t>ING-001</t>
        </is>
      </c>
      <c r="B11" s="46" t="inlineStr">
        <is>
          <t>Concept Blend 1 (Espresso Beans)</t>
        </is>
      </c>
      <c r="C11" s="47" t="inlineStr">
        <is>
          <t>pack (1kg)</t>
        </is>
      </c>
      <c r="D11" s="48" t="n">
        <v>980</v>
      </c>
      <c r="E11" s="49" t="n">
        <v>10</v>
      </c>
      <c r="F11" s="49" t="n">
        <v>0</v>
      </c>
      <c r="G11" s="66">
        <f>E11+F11</f>
        <v/>
      </c>
      <c r="H11" s="51" t="n">
        <v>3</v>
      </c>
      <c r="I11" s="52" t="inlineStr">
        <is>
          <t>3 packs</t>
        </is>
      </c>
      <c r="J11" s="67" t="n">
        <v>5.932</v>
      </c>
      <c r="K11" s="53">
        <f>H11-J11</f>
        <v/>
      </c>
      <c r="L11" s="54">
        <f>G11-H11</f>
        <v/>
      </c>
      <c r="M11" s="55">
        <f>H11*D11</f>
        <v/>
      </c>
      <c r="N11" s="56">
        <f>K11*D11</f>
        <v/>
      </c>
      <c r="O11" s="68" t="inlineStr">
        <is>
          <t>ℹ️ IN-USE / CONSUMED</t>
        </is>
      </c>
      <c r="P11" s="57" t="inlineStr">
        <is>
          <t>⚪</t>
        </is>
      </c>
      <c r="Q11" s="58" t="inlineStr">
        <is>
          <t>Aug 8 Beginning: 10 packs. 7 packs (7kg) ground and consumed. 3 packs remaining on bar. POS tracked 5.93 packs prior to closing.</t>
        </is>
      </c>
    </row>
    <row r="12" ht="22" customHeight="1">
      <c r="A12" s="30" t="inlineStr">
        <is>
          <t>ING-002</t>
        </is>
      </c>
      <c r="B12" s="31" t="inlineStr">
        <is>
          <t>Australia's Own / Artisanal Roast</t>
        </is>
      </c>
      <c r="C12" s="32" t="inlineStr">
        <is>
          <t>pack (1kg)</t>
        </is>
      </c>
      <c r="D12" s="33" t="n">
        <v>204</v>
      </c>
      <c r="E12" s="34" t="n">
        <v>0</v>
      </c>
      <c r="F12" s="34" t="n">
        <v>1</v>
      </c>
      <c r="G12" s="69">
        <f>E12+F12</f>
        <v/>
      </c>
      <c r="H12" s="36" t="n">
        <v>1</v>
      </c>
      <c r="I12" s="37" t="inlineStr">
        <is>
          <t>1pack (Artisanal brand)</t>
        </is>
      </c>
      <c r="J12" s="34" t="n">
        <v>1</v>
      </c>
      <c r="K12" s="38">
        <f>H12-J12</f>
        <v/>
      </c>
      <c r="L12" s="39">
        <f>G12-H12</f>
        <v/>
      </c>
      <c r="M12" s="40">
        <f>H12*D12</f>
        <v/>
      </c>
      <c r="N12" s="41">
        <f>K12*D12</f>
        <v/>
      </c>
      <c r="O12" s="70" t="inlineStr">
        <is>
          <t>✅ MATCH</t>
        </is>
      </c>
      <c r="P12" s="43" t="inlineStr">
        <is>
          <t>🟢</t>
        </is>
      </c>
      <c r="Q12" s="44" t="inlineStr">
        <is>
          <t>Aug 13 Delivery: 1.0 pack. 100% Exact match to POS system. Reserve specialty roast sealed.</t>
        </is>
      </c>
    </row>
    <row r="13" ht="22" customHeight="1">
      <c r="A13" s="59" t="inlineStr">
        <is>
          <t>Subtotal — 2. COFFEE BEANS &amp; SPECIALTY ROASTS:</t>
        </is>
      </c>
      <c r="B13" s="60" t="n"/>
      <c r="C13" s="60" t="n"/>
      <c r="D13" s="60" t="n"/>
      <c r="E13" s="61">
        <f>SUMPRODUCT(D11:D12, E11:E12)</f>
        <v/>
      </c>
      <c r="F13" s="61">
        <f>SUMPRODUCT(D11:D12, F11:F12)</f>
        <v/>
      </c>
      <c r="G13" s="61">
        <f>E13+F13</f>
        <v/>
      </c>
      <c r="H13" s="62">
        <f>SUM(H11:H12)</f>
        <v/>
      </c>
      <c r="I13" s="60" t="n"/>
      <c r="J13" s="62">
        <f>SUM(J11:J12)</f>
        <v/>
      </c>
      <c r="K13" s="63">
        <f>SUM(K11:K12)</f>
        <v/>
      </c>
      <c r="L13" s="61">
        <f>SUMPRODUCT(D11:D12, L11:L12)</f>
        <v/>
      </c>
      <c r="M13" s="64">
        <f>SUM(M11:M12)</f>
        <v/>
      </c>
      <c r="N13" s="65">
        <f>SUM(N11:N12)</f>
        <v/>
      </c>
      <c r="O13" s="60" t="n"/>
      <c r="P13" s="60" t="n"/>
      <c r="Q13" s="60" t="n"/>
    </row>
    <row r="14" ht="24" customHeight="1">
      <c r="A14" s="71" t="inlineStr">
        <is>
          <t>🍯  3. TORANI FLAVOR SYRUPS &amp; PURÉES</t>
        </is>
      </c>
    </row>
    <row r="15" ht="22" customHeight="1">
      <c r="A15" s="45" t="inlineStr">
        <is>
          <t>TOR-001</t>
        </is>
      </c>
      <c r="B15" s="46" t="inlineStr">
        <is>
          <t>Torani Irish Cream Syrup 750ml</t>
        </is>
      </c>
      <c r="C15" s="47" t="inlineStr">
        <is>
          <t>bottle</t>
        </is>
      </c>
      <c r="D15" s="48" t="n">
        <v>550</v>
      </c>
      <c r="E15" s="49" t="n">
        <v>0</v>
      </c>
      <c r="F15" s="49" t="n">
        <v>1</v>
      </c>
      <c r="G15" s="66">
        <f>E15+F15</f>
        <v/>
      </c>
      <c r="H15" s="51" t="n">
        <v>1</v>
      </c>
      <c r="I15" s="52" t="inlineStr">
        <is>
          <t>1 bottle</t>
        </is>
      </c>
      <c r="J15" s="49" t="n">
        <v>1</v>
      </c>
      <c r="K15" s="53">
        <f>H15-J15</f>
        <v/>
      </c>
      <c r="L15" s="54">
        <f>G15-H15</f>
        <v/>
      </c>
      <c r="M15" s="55">
        <f>H15*D15</f>
        <v/>
      </c>
      <c r="N15" s="56">
        <f>K15*D15</f>
        <v/>
      </c>
      <c r="O15" s="70" t="inlineStr">
        <is>
          <t>✅ MATCH</t>
        </is>
      </c>
      <c r="P15" s="57" t="inlineStr">
        <is>
          <t>🟢</t>
        </is>
      </c>
      <c r="Q15" s="58" t="inlineStr">
        <is>
          <t>Aug 24 Delivery: 1.0 bottle. 100% Exact match to POS system. Active bar bottle.</t>
        </is>
      </c>
    </row>
    <row r="16" ht="22" customHeight="1">
      <c r="A16" s="30" t="inlineStr">
        <is>
          <t>TOR-002</t>
        </is>
      </c>
      <c r="B16" s="31" t="inlineStr">
        <is>
          <t>Torani Salted Caramel Syrup 750ml</t>
        </is>
      </c>
      <c r="C16" s="32" t="inlineStr">
        <is>
          <t>bottle</t>
        </is>
      </c>
      <c r="D16" s="33" t="n">
        <v>550</v>
      </c>
      <c r="E16" s="34" t="n">
        <v>0</v>
      </c>
      <c r="F16" s="34" t="n">
        <v>1</v>
      </c>
      <c r="G16" s="69">
        <f>E16+F16</f>
        <v/>
      </c>
      <c r="H16" s="36" t="n">
        <v>1</v>
      </c>
      <c r="I16" s="37" t="inlineStr">
        <is>
          <t>1bottle</t>
        </is>
      </c>
      <c r="J16" s="34" t="n">
        <v>1</v>
      </c>
      <c r="K16" s="38">
        <f>H16-J16</f>
        <v/>
      </c>
      <c r="L16" s="39">
        <f>G16-H16</f>
        <v/>
      </c>
      <c r="M16" s="40">
        <f>H16*D16</f>
        <v/>
      </c>
      <c r="N16" s="41">
        <f>K16*D16</f>
        <v/>
      </c>
      <c r="O16" s="70" t="inlineStr">
        <is>
          <t>✅ MATCH</t>
        </is>
      </c>
      <c r="P16" s="43" t="inlineStr">
        <is>
          <t>🟢</t>
        </is>
      </c>
      <c r="Q16" s="44" t="inlineStr">
        <is>
          <t>Aug 24 Delivery: 1.0 bottle. 100% Exact match to POS system. Active bar bottle.</t>
        </is>
      </c>
    </row>
    <row r="17" ht="22" customHeight="1">
      <c r="A17" s="45" t="inlineStr">
        <is>
          <t>TOR-003</t>
        </is>
      </c>
      <c r="B17" s="46" t="inlineStr">
        <is>
          <t>Torani White Chocolate Syrup 750ml</t>
        </is>
      </c>
      <c r="C17" s="47" t="inlineStr">
        <is>
          <t>bottle</t>
        </is>
      </c>
      <c r="D17" s="48" t="n">
        <v>550</v>
      </c>
      <c r="E17" s="49" t="n">
        <v>0</v>
      </c>
      <c r="F17" s="49" t="n">
        <v>1</v>
      </c>
      <c r="G17" s="66">
        <f>E17+F17</f>
        <v/>
      </c>
      <c r="H17" s="51" t="n">
        <v>1</v>
      </c>
      <c r="I17" s="52" t="inlineStr">
        <is>
          <t>1bottle</t>
        </is>
      </c>
      <c r="J17" s="49" t="n">
        <v>1</v>
      </c>
      <c r="K17" s="53">
        <f>H17-J17</f>
        <v/>
      </c>
      <c r="L17" s="54">
        <f>G17-H17</f>
        <v/>
      </c>
      <c r="M17" s="55">
        <f>H17*D17</f>
        <v/>
      </c>
      <c r="N17" s="56">
        <f>K17*D17</f>
        <v/>
      </c>
      <c r="O17" s="70" t="inlineStr">
        <is>
          <t>✅ MATCH</t>
        </is>
      </c>
      <c r="P17" s="57" t="inlineStr">
        <is>
          <t>🟢</t>
        </is>
      </c>
      <c r="Q17" s="58" t="inlineStr">
        <is>
          <t>Sept 2 Delivery: 1.0 bottle. 100% Exact match to POS system. Active bar bottle.</t>
        </is>
      </c>
    </row>
    <row r="18" ht="22" customHeight="1">
      <c r="A18" s="30" t="inlineStr">
        <is>
          <t>TOR-004</t>
        </is>
      </c>
      <c r="B18" s="31" t="inlineStr">
        <is>
          <t>Torani French Vanilla Syrup 750ml</t>
        </is>
      </c>
      <c r="C18" s="32" t="inlineStr">
        <is>
          <t>bottle</t>
        </is>
      </c>
      <c r="D18" s="33" t="n">
        <v>550</v>
      </c>
      <c r="E18" s="34" t="n">
        <v>0</v>
      </c>
      <c r="F18" s="34" t="n">
        <v>1</v>
      </c>
      <c r="G18" s="69">
        <f>E18+F18</f>
        <v/>
      </c>
      <c r="H18" s="36" t="n">
        <v>1</v>
      </c>
      <c r="I18" s="37" t="inlineStr">
        <is>
          <t>1bottle</t>
        </is>
      </c>
      <c r="J18" s="34" t="n">
        <v>1</v>
      </c>
      <c r="K18" s="38">
        <f>H18-J18</f>
        <v/>
      </c>
      <c r="L18" s="39">
        <f>G18-H18</f>
        <v/>
      </c>
      <c r="M18" s="40">
        <f>H18*D18</f>
        <v/>
      </c>
      <c r="N18" s="41">
        <f>K18*D18</f>
        <v/>
      </c>
      <c r="O18" s="70" t="inlineStr">
        <is>
          <t>✅ MATCH</t>
        </is>
      </c>
      <c r="P18" s="43" t="inlineStr">
        <is>
          <t>🟢</t>
        </is>
      </c>
      <c r="Q18" s="44" t="inlineStr">
        <is>
          <t>Aug 24 Delivery: 1.0 bottle. 100% Exact match to POS system. Active bar bottle.</t>
        </is>
      </c>
    </row>
    <row r="19" ht="22" customHeight="1">
      <c r="A19" s="45" t="inlineStr">
        <is>
          <t>TOR-005</t>
        </is>
      </c>
      <c r="B19" s="46" t="inlineStr">
        <is>
          <t>Torani Macadamia Nut Syrup 750ml</t>
        </is>
      </c>
      <c r="C19" s="47" t="inlineStr">
        <is>
          <t>bottle</t>
        </is>
      </c>
      <c r="D19" s="48" t="n">
        <v>550</v>
      </c>
      <c r="E19" s="49" t="n">
        <v>0</v>
      </c>
      <c r="F19" s="49" t="n">
        <v>1</v>
      </c>
      <c r="G19" s="66">
        <f>E19+F19</f>
        <v/>
      </c>
      <c r="H19" s="51" t="n">
        <v>1</v>
      </c>
      <c r="I19" s="52" t="inlineStr">
        <is>
          <t>1 bottle</t>
        </is>
      </c>
      <c r="J19" s="49" t="n">
        <v>1</v>
      </c>
      <c r="K19" s="53">
        <f>H19-J19</f>
        <v/>
      </c>
      <c r="L19" s="54">
        <f>G19-H19</f>
        <v/>
      </c>
      <c r="M19" s="55">
        <f>H19*D19</f>
        <v/>
      </c>
      <c r="N19" s="56">
        <f>K19*D19</f>
        <v/>
      </c>
      <c r="O19" s="70" t="inlineStr">
        <is>
          <t>✅ MATCH</t>
        </is>
      </c>
      <c r="P19" s="57" t="inlineStr">
        <is>
          <t>🟢</t>
        </is>
      </c>
      <c r="Q19" s="58" t="inlineStr">
        <is>
          <t>Aug 24 Delivery: 1.0 bottle. 100% Exact match to POS system. Active bar bottle.</t>
        </is>
      </c>
    </row>
    <row r="20" ht="22" customHeight="1">
      <c r="A20" s="30" t="inlineStr">
        <is>
          <t>TOR-006</t>
        </is>
      </c>
      <c r="B20" s="31" t="inlineStr">
        <is>
          <t>Torani Hazelnut Syrup 750ml</t>
        </is>
      </c>
      <c r="C20" s="32" t="inlineStr">
        <is>
          <t>bottle</t>
        </is>
      </c>
      <c r="D20" s="33" t="n">
        <v>550</v>
      </c>
      <c r="E20" s="34" t="n">
        <v>0</v>
      </c>
      <c r="F20" s="34" t="n">
        <v>1</v>
      </c>
      <c r="G20" s="69">
        <f>E20+F20</f>
        <v/>
      </c>
      <c r="H20" s="36" t="n">
        <v>1</v>
      </c>
      <c r="I20" s="37" t="inlineStr">
        <is>
          <t>1bottle</t>
        </is>
      </c>
      <c r="J20" s="34" t="n">
        <v>1</v>
      </c>
      <c r="K20" s="38">
        <f>H20-J20</f>
        <v/>
      </c>
      <c r="L20" s="39">
        <f>G20-H20</f>
        <v/>
      </c>
      <c r="M20" s="40">
        <f>H20*D20</f>
        <v/>
      </c>
      <c r="N20" s="41">
        <f>K20*D20</f>
        <v/>
      </c>
      <c r="O20" s="70" t="inlineStr">
        <is>
          <t>✅ MATCH</t>
        </is>
      </c>
      <c r="P20" s="43" t="inlineStr">
        <is>
          <t>🟢</t>
        </is>
      </c>
      <c r="Q20" s="44" t="inlineStr">
        <is>
          <t>Aug 24 Delivery: 1.0 bottle. 100% Exact match to POS system. Active bar bottle.</t>
        </is>
      </c>
    </row>
    <row r="21" ht="22" customHeight="1">
      <c r="A21" s="45" t="inlineStr">
        <is>
          <t>TOR-007</t>
        </is>
      </c>
      <c r="B21" s="46" t="inlineStr">
        <is>
          <t>Torani Butterscotch Syrup 750ml</t>
        </is>
      </c>
      <c r="C21" s="47" t="inlineStr">
        <is>
          <t>bottle</t>
        </is>
      </c>
      <c r="D21" s="48" t="n">
        <v>550</v>
      </c>
      <c r="E21" s="49" t="n">
        <v>0</v>
      </c>
      <c r="F21" s="49" t="n">
        <v>1</v>
      </c>
      <c r="G21" s="66">
        <f>E21+F21</f>
        <v/>
      </c>
      <c r="H21" s="51" t="n">
        <v>1</v>
      </c>
      <c r="I21" s="52" t="inlineStr">
        <is>
          <t>1bottle</t>
        </is>
      </c>
      <c r="J21" s="49" t="n">
        <v>1</v>
      </c>
      <c r="K21" s="53">
        <f>H21-J21</f>
        <v/>
      </c>
      <c r="L21" s="54">
        <f>G21-H21</f>
        <v/>
      </c>
      <c r="M21" s="55">
        <f>H21*D21</f>
        <v/>
      </c>
      <c r="N21" s="56">
        <f>K21*D21</f>
        <v/>
      </c>
      <c r="O21" s="70" t="inlineStr">
        <is>
          <t>✅ MATCH</t>
        </is>
      </c>
      <c r="P21" s="57" t="inlineStr">
        <is>
          <t>🟢</t>
        </is>
      </c>
      <c r="Q21" s="58" t="inlineStr">
        <is>
          <t>Aug 24 Delivery: 1.0 bottle. 100% Exact match to POS system. Active bar bottle.</t>
        </is>
      </c>
    </row>
    <row r="22" ht="22" customHeight="1">
      <c r="A22" s="30" t="inlineStr">
        <is>
          <t>TOR-008</t>
        </is>
      </c>
      <c r="B22" s="31" t="inlineStr">
        <is>
          <t>Torani Pomegranate Syrup 750ml</t>
        </is>
      </c>
      <c r="C22" s="32" t="inlineStr">
        <is>
          <t>bottle</t>
        </is>
      </c>
      <c r="D22" s="33" t="n">
        <v>550</v>
      </c>
      <c r="E22" s="34" t="n">
        <v>0</v>
      </c>
      <c r="F22" s="34" t="n">
        <v>1</v>
      </c>
      <c r="G22" s="69">
        <f>E22+F22</f>
        <v/>
      </c>
      <c r="H22" s="36" t="n">
        <v>1</v>
      </c>
      <c r="I22" s="37" t="inlineStr">
        <is>
          <t>1bottle</t>
        </is>
      </c>
      <c r="J22" s="34" t="n">
        <v>1</v>
      </c>
      <c r="K22" s="38">
        <f>H22-J22</f>
        <v/>
      </c>
      <c r="L22" s="39">
        <f>G22-H22</f>
        <v/>
      </c>
      <c r="M22" s="40">
        <f>H22*D22</f>
        <v/>
      </c>
      <c r="N22" s="41">
        <f>K22*D22</f>
        <v/>
      </c>
      <c r="O22" s="70" t="inlineStr">
        <is>
          <t>✅ MATCH</t>
        </is>
      </c>
      <c r="P22" s="43" t="inlineStr">
        <is>
          <t>🟢</t>
        </is>
      </c>
      <c r="Q22" s="44" t="inlineStr">
        <is>
          <t>Aug 24 Delivery: 1.0 bottle. 100% Exact match to POS system. Active bar bottle.</t>
        </is>
      </c>
    </row>
    <row r="23" ht="22" customHeight="1">
      <c r="A23" s="45" t="inlineStr">
        <is>
          <t>TOR-009</t>
        </is>
      </c>
      <c r="B23" s="46" t="inlineStr">
        <is>
          <t>Torani Lychee Syrup 750ml</t>
        </is>
      </c>
      <c r="C23" s="47" t="inlineStr">
        <is>
          <t>bottle</t>
        </is>
      </c>
      <c r="D23" s="48" t="n">
        <v>550</v>
      </c>
      <c r="E23" s="49" t="n">
        <v>0</v>
      </c>
      <c r="F23" s="49" t="n">
        <v>1</v>
      </c>
      <c r="G23" s="66">
        <f>E23+F23</f>
        <v/>
      </c>
      <c r="H23" s="51" t="n">
        <v>1</v>
      </c>
      <c r="I23" s="52" t="inlineStr">
        <is>
          <t>1bottle</t>
        </is>
      </c>
      <c r="J23" s="49" t="n">
        <v>1</v>
      </c>
      <c r="K23" s="53">
        <f>H23-J23</f>
        <v/>
      </c>
      <c r="L23" s="54">
        <f>G23-H23</f>
        <v/>
      </c>
      <c r="M23" s="55">
        <f>H23*D23</f>
        <v/>
      </c>
      <c r="N23" s="56">
        <f>K23*D23</f>
        <v/>
      </c>
      <c r="O23" s="70" t="inlineStr">
        <is>
          <t>✅ MATCH</t>
        </is>
      </c>
      <c r="P23" s="57" t="inlineStr">
        <is>
          <t>🟢</t>
        </is>
      </c>
      <c r="Q23" s="58" t="inlineStr">
        <is>
          <t>Aug 24 Delivery: 1.0 bottle. 100% Exact match to POS system. Active bar bottle.</t>
        </is>
      </c>
    </row>
    <row r="24" ht="22" customHeight="1">
      <c r="A24" s="30" t="inlineStr">
        <is>
          <t>TOR-010</t>
        </is>
      </c>
      <c r="B24" s="31" t="inlineStr">
        <is>
          <t>Torani Caramel Sauce / Syrup (Gallon)</t>
        </is>
      </c>
      <c r="C24" s="32" t="inlineStr">
        <is>
          <t>gallon</t>
        </is>
      </c>
      <c r="D24" s="33" t="n">
        <v>950</v>
      </c>
      <c r="E24" s="34" t="n">
        <v>0</v>
      </c>
      <c r="F24" s="34" t="n">
        <v>1</v>
      </c>
      <c r="G24" s="69">
        <f>E24+F24</f>
        <v/>
      </c>
      <c r="H24" s="36" t="n">
        <v>1</v>
      </c>
      <c r="I24" s="37" t="inlineStr">
        <is>
          <t>1gallon</t>
        </is>
      </c>
      <c r="J24" s="34" t="n">
        <v>1</v>
      </c>
      <c r="K24" s="38">
        <f>H24-J24</f>
        <v/>
      </c>
      <c r="L24" s="39">
        <f>G24-H24</f>
        <v/>
      </c>
      <c r="M24" s="40">
        <f>H24*D24</f>
        <v/>
      </c>
      <c r="N24" s="41">
        <f>K24*D24</f>
        <v/>
      </c>
      <c r="O24" s="70" t="inlineStr">
        <is>
          <t>✅ MATCH</t>
        </is>
      </c>
      <c r="P24" s="43" t="inlineStr">
        <is>
          <t>🟢</t>
        </is>
      </c>
      <c r="Q24" s="44" t="inlineStr">
        <is>
          <t>Sept 2 Delivery: 1.0 gallon (1.89L). 100% Exact match to POS system. Main caramel jug.</t>
        </is>
      </c>
    </row>
    <row r="25" ht="22" customHeight="1">
      <c r="A25" s="45" t="inlineStr">
        <is>
          <t>TOR-011</t>
        </is>
      </c>
      <c r="B25" s="46" t="inlineStr">
        <is>
          <t>Torani Mango Purée Blend 1.89L</t>
        </is>
      </c>
      <c r="C25" s="47" t="inlineStr">
        <is>
          <t>gallon</t>
        </is>
      </c>
      <c r="D25" s="48" t="n">
        <v>950</v>
      </c>
      <c r="E25" s="49" t="n">
        <v>0</v>
      </c>
      <c r="F25" s="49" t="n">
        <v>1</v>
      </c>
      <c r="G25" s="66">
        <f>E25+F25</f>
        <v/>
      </c>
      <c r="H25" s="51" t="n">
        <v>1</v>
      </c>
      <c r="I25" s="52" t="inlineStr">
        <is>
          <t>1gallon</t>
        </is>
      </c>
      <c r="J25" s="49" t="n">
        <v>1</v>
      </c>
      <c r="K25" s="53">
        <f>H25-J25</f>
        <v/>
      </c>
      <c r="L25" s="54">
        <f>G25-H25</f>
        <v/>
      </c>
      <c r="M25" s="55">
        <f>H25*D25</f>
        <v/>
      </c>
      <c r="N25" s="56">
        <f>K25*D25</f>
        <v/>
      </c>
      <c r="O25" s="70" t="inlineStr">
        <is>
          <t>✅ MATCH</t>
        </is>
      </c>
      <c r="P25" s="57" t="inlineStr">
        <is>
          <t>🟢</t>
        </is>
      </c>
      <c r="Q25" s="58" t="inlineStr">
        <is>
          <t>Aug 24 Delivery: 1.0 gallon. 100% Exact match to POS system. Mango puree base for smoothies.</t>
        </is>
      </c>
    </row>
    <row r="26" ht="22" customHeight="1">
      <c r="A26" s="30" t="inlineStr">
        <is>
          <t>TOR-012</t>
        </is>
      </c>
      <c r="B26" s="31" t="inlineStr">
        <is>
          <t>Torani Strawberry Purée Blend 1.89L</t>
        </is>
      </c>
      <c r="C26" s="32" t="inlineStr">
        <is>
          <t>gallon</t>
        </is>
      </c>
      <c r="D26" s="33" t="n">
        <v>950</v>
      </c>
      <c r="E26" s="34" t="n">
        <v>0</v>
      </c>
      <c r="F26" s="34" t="n">
        <v>1</v>
      </c>
      <c r="G26" s="69">
        <f>E26+F26</f>
        <v/>
      </c>
      <c r="H26" s="36" t="n">
        <v>1</v>
      </c>
      <c r="I26" s="37" t="inlineStr">
        <is>
          <t>1gallon (1L)</t>
        </is>
      </c>
      <c r="J26" s="34" t="n">
        <v>1</v>
      </c>
      <c r="K26" s="38">
        <f>H26-J26</f>
        <v/>
      </c>
      <c r="L26" s="39">
        <f>G26-H26</f>
        <v/>
      </c>
      <c r="M26" s="40">
        <f>H26*D26</f>
        <v/>
      </c>
      <c r="N26" s="41">
        <f>K26*D26</f>
        <v/>
      </c>
      <c r="O26" s="70" t="inlineStr">
        <is>
          <t>✅ MATCH</t>
        </is>
      </c>
      <c r="P26" s="43" t="inlineStr">
        <is>
          <t>🟢</t>
        </is>
      </c>
      <c r="Q26" s="44" t="inlineStr">
        <is>
          <t>Aug 24 Delivery: 1.0 gallon. 100% Exact match to POS system. Strawberry puree base for frappes.</t>
        </is>
      </c>
    </row>
    <row r="27" ht="22" customHeight="1">
      <c r="A27" s="59" t="inlineStr">
        <is>
          <t>Subtotal — 3. TORANI FLAVOR SYRUPS &amp; PURÉES:</t>
        </is>
      </c>
      <c r="B27" s="60" t="n"/>
      <c r="C27" s="60" t="n"/>
      <c r="D27" s="60" t="n"/>
      <c r="E27" s="61">
        <f>SUMPRODUCT(D15:D26, E15:E26)</f>
        <v/>
      </c>
      <c r="F27" s="61">
        <f>SUMPRODUCT(D15:D26, F15:F26)</f>
        <v/>
      </c>
      <c r="G27" s="61">
        <f>E27+F27</f>
        <v/>
      </c>
      <c r="H27" s="62">
        <f>SUM(H15:H26)</f>
        <v/>
      </c>
      <c r="I27" s="60" t="n"/>
      <c r="J27" s="62">
        <f>SUM(J15:J26)</f>
        <v/>
      </c>
      <c r="K27" s="63">
        <f>SUM(K15:K26)</f>
        <v/>
      </c>
      <c r="L27" s="61">
        <f>SUMPRODUCT(D15:D26, L15:L26)</f>
        <v/>
      </c>
      <c r="M27" s="64">
        <f>SUM(M15:M26)</f>
        <v/>
      </c>
      <c r="N27" s="65">
        <f>SUM(N15:N26)</f>
        <v/>
      </c>
      <c r="O27" s="60" t="n"/>
      <c r="P27" s="60" t="n"/>
      <c r="Q27" s="60" t="n"/>
    </row>
    <row r="28" ht="24" customHeight="1">
      <c r="A28" s="72" t="inlineStr">
        <is>
          <t>✨  4. SHOTT NEW ZEALAND PREMIUM SYRUPS</t>
        </is>
      </c>
    </row>
    <row r="29" ht="22" customHeight="1">
      <c r="A29" s="45" t="inlineStr">
        <is>
          <t>SHT-001</t>
        </is>
      </c>
      <c r="B29" s="46" t="inlineStr">
        <is>
          <t>SHOTT Pink Guava Syrup 1L</t>
        </is>
      </c>
      <c r="C29" s="47" t="inlineStr">
        <is>
          <t>bottle (1L)</t>
        </is>
      </c>
      <c r="D29" s="48" t="n">
        <v>890</v>
      </c>
      <c r="E29" s="49" t="n">
        <v>1</v>
      </c>
      <c r="F29" s="49" t="n">
        <v>0</v>
      </c>
      <c r="G29" s="66">
        <f>E29+F29</f>
        <v/>
      </c>
      <c r="H29" s="51" t="n">
        <v>0</v>
      </c>
      <c r="I29" s="52" t="inlineStr">
        <is>
          <t>empty</t>
        </is>
      </c>
      <c r="J29" s="67" t="n">
        <v>-0.08</v>
      </c>
      <c r="K29" s="53">
        <f>H29-J29</f>
        <v/>
      </c>
      <c r="L29" s="54">
        <f>G29-H29</f>
        <v/>
      </c>
      <c r="M29" s="55">
        <f>H29*D29</f>
        <v/>
      </c>
      <c r="N29" s="56">
        <f>K29*D29</f>
        <v/>
      </c>
      <c r="O29" s="73" t="inlineStr">
        <is>
          <t>🚨 OUT OF STOCK</t>
        </is>
      </c>
      <c r="P29" s="57" t="inlineStr">
        <is>
          <t>🔴</t>
        </is>
      </c>
      <c r="Q29" s="58" t="inlineStr">
        <is>
          <t>Aug 8 Beginning: 1.0 bot. 1.0 bot completely consumed across fruit teas &amp; sodas. 🚨 OUT OF STOCK. Reorder urgent.</t>
        </is>
      </c>
    </row>
    <row r="30" ht="22" customHeight="1">
      <c r="A30" s="30" t="inlineStr">
        <is>
          <t>SHT-002</t>
        </is>
      </c>
      <c r="B30" s="31" t="inlineStr">
        <is>
          <t>SHOTT Irish Cream Syrup 1L</t>
        </is>
      </c>
      <c r="C30" s="32" t="inlineStr">
        <is>
          <t>bottle (1L)</t>
        </is>
      </c>
      <c r="D30" s="33" t="n">
        <v>690</v>
      </c>
      <c r="E30" s="34" t="n">
        <v>1</v>
      </c>
      <c r="F30" s="34" t="n">
        <v>0</v>
      </c>
      <c r="G30" s="69">
        <f>E30+F30</f>
        <v/>
      </c>
      <c r="H30" s="36" t="n">
        <v>1</v>
      </c>
      <c r="I30" s="37" t="inlineStr">
        <is>
          <t>1bottle (1L)</t>
        </is>
      </c>
      <c r="J30" s="34" t="n">
        <v>1</v>
      </c>
      <c r="K30" s="38">
        <f>H30-J30</f>
        <v/>
      </c>
      <c r="L30" s="39">
        <f>G30-H30</f>
        <v/>
      </c>
      <c r="M30" s="40">
        <f>H30*D30</f>
        <v/>
      </c>
      <c r="N30" s="41">
        <f>K30*D30</f>
        <v/>
      </c>
      <c r="O30" s="70" t="inlineStr">
        <is>
          <t>✅ MATCH</t>
        </is>
      </c>
      <c r="P30" s="43" t="inlineStr">
        <is>
          <t>🟢</t>
        </is>
      </c>
      <c r="Q30" s="44" t="inlineStr">
        <is>
          <t>Aug 8 Beginning: 1.0 bot. 100% Exact match to POS system. Full 1L bottle on shelf.</t>
        </is>
      </c>
    </row>
    <row r="31" ht="22" customHeight="1">
      <c r="A31" s="45" t="inlineStr">
        <is>
          <t>SHT-003</t>
        </is>
      </c>
      <c r="B31" s="46" t="inlineStr">
        <is>
          <t>SHOTT Mango Syrup 1L</t>
        </is>
      </c>
      <c r="C31" s="47" t="inlineStr">
        <is>
          <t>bottle (1L)</t>
        </is>
      </c>
      <c r="D31" s="48" t="n">
        <v>890</v>
      </c>
      <c r="E31" s="49" t="n">
        <v>1</v>
      </c>
      <c r="F31" s="49" t="n">
        <v>0</v>
      </c>
      <c r="G31" s="66">
        <f>E31+F31</f>
        <v/>
      </c>
      <c r="H31" s="74" t="n">
        <v>0.21</v>
      </c>
      <c r="I31" s="52" t="inlineStr">
        <is>
          <t>210ml</t>
        </is>
      </c>
      <c r="J31" s="67" t="n">
        <v>0.18</v>
      </c>
      <c r="K31" s="53">
        <f>H31-J31</f>
        <v/>
      </c>
      <c r="L31" s="54">
        <f>G31-H31</f>
        <v/>
      </c>
      <c r="M31" s="55">
        <f>H31*D31</f>
        <v/>
      </c>
      <c r="N31" s="56">
        <f>K31*D31</f>
        <v/>
      </c>
      <c r="O31" s="75" t="inlineStr">
        <is>
          <t>⚠️ LOW STOCK</t>
        </is>
      </c>
      <c r="P31" s="57" t="inlineStr">
        <is>
          <t>🟡</t>
        </is>
      </c>
      <c r="Q31" s="58" t="inlineStr">
        <is>
          <t>Aug 8 Beginning: 1.0 bot. 790ml consumed. ⚠️ LOW STOCK: 210ml remaining (POS tracked 180ml). Reorder within 3 days.</t>
        </is>
      </c>
    </row>
    <row r="32" ht="22" customHeight="1">
      <c r="A32" s="30" t="inlineStr">
        <is>
          <t>SHT-004</t>
        </is>
      </c>
      <c r="B32" s="31" t="inlineStr">
        <is>
          <t>SHOTT Macadamia Syrup 1L</t>
        </is>
      </c>
      <c r="C32" s="32" t="inlineStr">
        <is>
          <t>bottle (1L)</t>
        </is>
      </c>
      <c r="D32" s="33" t="n">
        <v>690</v>
      </c>
      <c r="E32" s="34" t="n">
        <v>1</v>
      </c>
      <c r="F32" s="34" t="n">
        <v>0</v>
      </c>
      <c r="G32" s="69">
        <f>E32+F32</f>
        <v/>
      </c>
      <c r="H32" s="76" t="n">
        <v>0.9</v>
      </c>
      <c r="I32" s="37" t="inlineStr">
        <is>
          <t>900ml</t>
        </is>
      </c>
      <c r="J32" s="77" t="n">
        <v>-0.21</v>
      </c>
      <c r="K32" s="38">
        <f>H32-J32</f>
        <v/>
      </c>
      <c r="L32" s="39">
        <f>G32-H32</f>
        <v/>
      </c>
      <c r="M32" s="40">
        <f>H32*D32</f>
        <v/>
      </c>
      <c r="N32" s="41">
        <f>K32*D32</f>
        <v/>
      </c>
      <c r="O32" s="42" t="inlineStr">
        <is>
          <t>🔺 SURPLUS / RESTOCK</t>
        </is>
      </c>
      <c r="P32" s="43" t="inlineStr">
        <is>
          <t>🔵</t>
        </is>
      </c>
      <c r="Q32" s="44" t="inlineStr">
        <is>
          <t>Aug 8 Beginning: 1.0 bot. Fresh replacement bottle opened on bar (900ml remaining). Stock reset required.</t>
        </is>
      </c>
    </row>
    <row r="33" ht="22" customHeight="1">
      <c r="A33" s="45" t="inlineStr">
        <is>
          <t>SHT-005</t>
        </is>
      </c>
      <c r="B33" s="46" t="inlineStr">
        <is>
          <t>SHOTT Vanilla Syrup 1L</t>
        </is>
      </c>
      <c r="C33" s="47" t="inlineStr">
        <is>
          <t>bottle (1L)</t>
        </is>
      </c>
      <c r="D33" s="48" t="n">
        <v>690</v>
      </c>
      <c r="E33" s="49" t="n">
        <v>1</v>
      </c>
      <c r="F33" s="49" t="n">
        <v>0</v>
      </c>
      <c r="G33" s="66">
        <f>E33+F33</f>
        <v/>
      </c>
      <c r="H33" s="51" t="n">
        <v>1</v>
      </c>
      <c r="I33" s="52" t="inlineStr">
        <is>
          <t>1bottle (1L)</t>
        </is>
      </c>
      <c r="J33" s="67" t="n">
        <v>0.75</v>
      </c>
      <c r="K33" s="53">
        <f>H33-J33</f>
        <v/>
      </c>
      <c r="L33" s="54">
        <f>G33-H33</f>
        <v/>
      </c>
      <c r="M33" s="55">
        <f>H33*D33</f>
        <v/>
      </c>
      <c r="N33" s="56">
        <f>K33*D33</f>
        <v/>
      </c>
      <c r="O33" s="42" t="inlineStr">
        <is>
          <t>🔺 SURPLUS / RESTOCK</t>
        </is>
      </c>
      <c r="P33" s="57" t="inlineStr">
        <is>
          <t>🔵</t>
        </is>
      </c>
      <c r="Q33" s="58" t="inlineStr">
        <is>
          <t>Aug 8 Beginning: 1.0 bot. Full 1L bottle on hand. POS recorded 0.75L.</t>
        </is>
      </c>
    </row>
    <row r="34" ht="22" customHeight="1">
      <c r="A34" s="30" t="inlineStr">
        <is>
          <t>SHT-006</t>
        </is>
      </c>
      <c r="B34" s="31" t="inlineStr">
        <is>
          <t>SHOTT Lychee Syrup 1L</t>
        </is>
      </c>
      <c r="C34" s="32" t="inlineStr">
        <is>
          <t>bottle (1L)</t>
        </is>
      </c>
      <c r="D34" s="33" t="n">
        <v>690</v>
      </c>
      <c r="E34" s="34" t="n">
        <v>1</v>
      </c>
      <c r="F34" s="34" t="n">
        <v>0</v>
      </c>
      <c r="G34" s="69">
        <f>E34+F34</f>
        <v/>
      </c>
      <c r="H34" s="76" t="n">
        <v>0.9</v>
      </c>
      <c r="I34" s="37" t="inlineStr">
        <is>
          <t>900ml</t>
        </is>
      </c>
      <c r="J34" s="77" t="n">
        <v>0.76</v>
      </c>
      <c r="K34" s="38">
        <f>H34-J34</f>
        <v/>
      </c>
      <c r="L34" s="39">
        <f>G34-H34</f>
        <v/>
      </c>
      <c r="M34" s="40">
        <f>H34*D34</f>
        <v/>
      </c>
      <c r="N34" s="41">
        <f>K34*D34</f>
        <v/>
      </c>
      <c r="O34" s="70" t="inlineStr">
        <is>
          <t>✅ MATCH</t>
        </is>
      </c>
      <c r="P34" s="43" t="inlineStr">
        <is>
          <t>🟢</t>
        </is>
      </c>
      <c r="Q34" s="44" t="inlineStr">
        <is>
          <t>Aug 8 Beginning: 1.0 bot. 100ml consumed. 900ml remaining in active rotation.</t>
        </is>
      </c>
    </row>
    <row r="35" ht="22" customHeight="1">
      <c r="A35" s="45" t="inlineStr">
        <is>
          <t>SHT-007</t>
        </is>
      </c>
      <c r="B35" s="46" t="inlineStr">
        <is>
          <t>SHOTT Pomegranate Syrup 1L</t>
        </is>
      </c>
      <c r="C35" s="47" t="inlineStr">
        <is>
          <t>bottle (1L)</t>
        </is>
      </c>
      <c r="D35" s="48" t="n">
        <v>890</v>
      </c>
      <c r="E35" s="49" t="n">
        <v>1</v>
      </c>
      <c r="F35" s="49" t="n">
        <v>0</v>
      </c>
      <c r="G35" s="66">
        <f>E35+F35</f>
        <v/>
      </c>
      <c r="H35" s="74" t="n">
        <v>0.25</v>
      </c>
      <c r="I35" s="52" t="inlineStr">
        <is>
          <t>250ml</t>
        </is>
      </c>
      <c r="J35" s="67" t="n">
        <v>0.25</v>
      </c>
      <c r="K35" s="53">
        <f>H35-J35</f>
        <v/>
      </c>
      <c r="L35" s="54">
        <f>G35-H35</f>
        <v/>
      </c>
      <c r="M35" s="55">
        <f>H35*D35</f>
        <v/>
      </c>
      <c r="N35" s="56">
        <f>K35*D35</f>
        <v/>
      </c>
      <c r="O35" s="75" t="inlineStr">
        <is>
          <t>⚠️ LOW STOCK</t>
        </is>
      </c>
      <c r="P35" s="57" t="inlineStr">
        <is>
          <t>🟡</t>
        </is>
      </c>
      <c r="Q35" s="58" t="inlineStr">
        <is>
          <t>Aug 8 Beginning: 1.0 bot. 750ml consumed. ⚠️ LOW STOCK: 250ml remaining. 100% PERFECT MATCH to POS stock (0.25L)!</t>
        </is>
      </c>
    </row>
    <row r="36" ht="22" customHeight="1">
      <c r="A36" s="59" t="inlineStr">
        <is>
          <t>Subtotal — 4. SHOTT NEW ZEALAND PREMIUM SYRUPS:</t>
        </is>
      </c>
      <c r="B36" s="60" t="n"/>
      <c r="C36" s="60" t="n"/>
      <c r="D36" s="60" t="n"/>
      <c r="E36" s="61">
        <f>SUMPRODUCT(D29:D35, E29:E35)</f>
        <v/>
      </c>
      <c r="F36" s="61">
        <f>SUMPRODUCT(D29:D35, F29:F35)</f>
        <v/>
      </c>
      <c r="G36" s="61">
        <f>E36+F36</f>
        <v/>
      </c>
      <c r="H36" s="62">
        <f>SUM(H29:H35)</f>
        <v/>
      </c>
      <c r="I36" s="60" t="n"/>
      <c r="J36" s="62">
        <f>SUM(J29:J35)</f>
        <v/>
      </c>
      <c r="K36" s="63">
        <f>SUM(K29:K35)</f>
        <v/>
      </c>
      <c r="L36" s="61">
        <f>SUMPRODUCT(D29:D35, L29:L35)</f>
        <v/>
      </c>
      <c r="M36" s="64">
        <f>SUM(M29:M35)</f>
        <v/>
      </c>
      <c r="N36" s="65">
        <f>SUM(N29:N35)</f>
        <v/>
      </c>
      <c r="O36" s="60" t="n"/>
      <c r="P36" s="60" t="n"/>
      <c r="Q36" s="60" t="n"/>
    </row>
    <row r="37" ht="24" customHeight="1">
      <c r="A37" s="78" t="inlineStr">
        <is>
          <t>🧈  5. CONDIMENTS, SPREADS &amp; MIXES</t>
        </is>
      </c>
    </row>
    <row r="38" ht="22" customHeight="1">
      <c r="A38" s="30" t="inlineStr">
        <is>
          <t>MIX-001</t>
        </is>
      </c>
      <c r="B38" s="31" t="inlineStr">
        <is>
          <t>Biscoff Sauce Mix (In-House Prep)</t>
        </is>
      </c>
      <c r="C38" s="32" t="inlineStr">
        <is>
          <t>grams</t>
        </is>
      </c>
      <c r="D38" s="33" t="n">
        <v>0.86</v>
      </c>
      <c r="E38" s="34" t="n">
        <v>0</v>
      </c>
      <c r="F38" s="34" t="n">
        <v>250</v>
      </c>
      <c r="G38" s="69">
        <f>E38+F38</f>
        <v/>
      </c>
      <c r="H38" s="36" t="n">
        <v>213</v>
      </c>
      <c r="I38" s="37" t="inlineStr">
        <is>
          <t>213g</t>
        </is>
      </c>
      <c r="J38" s="34" t="n">
        <v>250</v>
      </c>
      <c r="K38" s="38">
        <f>H38-J38</f>
        <v/>
      </c>
      <c r="L38" s="39">
        <f>G38-H38</f>
        <v/>
      </c>
      <c r="M38" s="40">
        <f>H38*D38</f>
        <v/>
      </c>
      <c r="N38" s="41">
        <f>K38*D38</f>
        <v/>
      </c>
      <c r="O38" s="68" t="inlineStr">
        <is>
          <t>ℹ️ IN-USE / CONSUMED</t>
        </is>
      </c>
      <c r="P38" s="43" t="inlineStr">
        <is>
          <t>⚪</t>
        </is>
      </c>
      <c r="Q38" s="44" t="inlineStr">
        <is>
          <t>In-house prepared sauce drizzle bottle. 213g on bar station.</t>
        </is>
      </c>
    </row>
    <row r="39" ht="22" customHeight="1">
      <c r="A39" s="45" t="inlineStr">
        <is>
          <t>MIX-002</t>
        </is>
      </c>
      <c r="B39" s="46" t="inlineStr">
        <is>
          <t>Lotus Biscoff Spread Smooth 400g</t>
        </is>
      </c>
      <c r="C39" s="47" t="inlineStr">
        <is>
          <t>grams</t>
        </is>
      </c>
      <c r="D39" s="48" t="n">
        <v>0.86</v>
      </c>
      <c r="E39" s="49" t="n">
        <v>0</v>
      </c>
      <c r="F39" s="49" t="n">
        <v>400</v>
      </c>
      <c r="G39" s="66">
        <f>E39+F39</f>
        <v/>
      </c>
      <c r="H39" s="51" t="n">
        <v>201</v>
      </c>
      <c r="I39" s="52" t="inlineStr">
        <is>
          <t>201g</t>
        </is>
      </c>
      <c r="J39" s="49" t="n">
        <v>250</v>
      </c>
      <c r="K39" s="53">
        <f>H39-J39</f>
        <v/>
      </c>
      <c r="L39" s="54">
        <f>G39-H39</f>
        <v/>
      </c>
      <c r="M39" s="55">
        <f>H39*D39</f>
        <v/>
      </c>
      <c r="N39" s="56">
        <f>K39*D39</f>
        <v/>
      </c>
      <c r="O39" s="68" t="inlineStr">
        <is>
          <t>ℹ️ IN-USE / CONSUMED</t>
        </is>
      </c>
      <c r="P39" s="57" t="inlineStr">
        <is>
          <t>⚪</t>
        </is>
      </c>
      <c r="Q39" s="58" t="inlineStr">
        <is>
          <t>Aug 13 Delivery: 1 pack (400g). 199g consumed in Biscoff lattes. ~0.5 jar (201g) left.</t>
        </is>
      </c>
    </row>
    <row r="40" ht="22" customHeight="1">
      <c r="A40" s="30" t="inlineStr">
        <is>
          <t>MIX-003</t>
        </is>
      </c>
      <c r="B40" s="31" t="inlineStr">
        <is>
          <t>Lotus Biscoff Biscuits (Garnish)</t>
        </is>
      </c>
      <c r="C40" s="32" t="inlineStr">
        <is>
          <t>pcs</t>
        </is>
      </c>
      <c r="D40" s="33" t="n">
        <v>6</v>
      </c>
      <c r="E40" s="34" t="n">
        <v>0</v>
      </c>
      <c r="F40" s="34" t="n">
        <v>32</v>
      </c>
      <c r="G40" s="69">
        <f>E40+F40</f>
        <v/>
      </c>
      <c r="H40" s="36" t="n">
        <v>13</v>
      </c>
      <c r="I40" s="37" t="inlineStr">
        <is>
          <t>13pcs biscuit</t>
        </is>
      </c>
      <c r="J40" s="34" t="n">
        <v>32</v>
      </c>
      <c r="K40" s="38">
        <f>H40-J40</f>
        <v/>
      </c>
      <c r="L40" s="39">
        <f>G40-H40</f>
        <v/>
      </c>
      <c r="M40" s="40">
        <f>H40*D40</f>
        <v/>
      </c>
      <c r="N40" s="41">
        <f>K40*D40</f>
        <v/>
      </c>
      <c r="O40" s="68" t="inlineStr">
        <is>
          <t>ℹ️ IN-USE / CONSUMED</t>
        </is>
      </c>
      <c r="P40" s="43" t="inlineStr">
        <is>
          <t>⚪</t>
        </is>
      </c>
      <c r="Q40" s="44" t="inlineStr">
        <is>
          <t>Aug 13 Delivery: 1 pack (approx 32 pcs). 19 pcs used for drink toppings. 13 pcs left.</t>
        </is>
      </c>
    </row>
    <row r="41" ht="22" customHeight="1">
      <c r="A41" s="45" t="inlineStr">
        <is>
          <t>MIX-004</t>
        </is>
      </c>
      <c r="B41" s="46" t="inlineStr">
        <is>
          <t>Sugar Syrup (Hi-Fructose 500ml)</t>
        </is>
      </c>
      <c r="C41" s="47" t="inlineStr">
        <is>
          <t>bottles</t>
        </is>
      </c>
      <c r="D41" s="48" t="n">
        <v>94</v>
      </c>
      <c r="E41" s="49" t="n">
        <v>1</v>
      </c>
      <c r="F41" s="49" t="n">
        <v>10</v>
      </c>
      <c r="G41" s="66">
        <f>E41+F41</f>
        <v/>
      </c>
      <c r="H41" s="51" t="n">
        <v>3</v>
      </c>
      <c r="I41" s="52" t="inlineStr">
        <is>
          <t>3 bottle</t>
        </is>
      </c>
      <c r="J41" s="49" t="n">
        <v>10</v>
      </c>
      <c r="K41" s="53">
        <f>H41-J41</f>
        <v/>
      </c>
      <c r="L41" s="54">
        <f>G41-H41</f>
        <v/>
      </c>
      <c r="M41" s="55">
        <f>H41*D41</f>
        <v/>
      </c>
      <c r="N41" s="56">
        <f>K41*D41</f>
        <v/>
      </c>
      <c r="O41" s="68" t="inlineStr">
        <is>
          <t>ℹ️ IN-USE / CONSUMED</t>
        </is>
      </c>
      <c r="P41" s="57" t="inlineStr">
        <is>
          <t>⚪</t>
        </is>
      </c>
      <c r="Q41" s="58" t="inlineStr">
        <is>
          <t>Aug 8 Beginning: 1 bot + Aug 13 Delivery: 10 bot = 11.0 Total. 8 bottles consumed across beverages! 3 remaining.</t>
        </is>
      </c>
    </row>
    <row r="42" ht="22" customHeight="1">
      <c r="A42" s="30" t="inlineStr">
        <is>
          <t>MIX-005</t>
        </is>
      </c>
      <c r="B42" s="31" t="inlineStr">
        <is>
          <t>Caramel Mix (Bakersfield Caramel Fudge)</t>
        </is>
      </c>
      <c r="C42" s="32" t="inlineStr">
        <is>
          <t>grams</t>
        </is>
      </c>
      <c r="D42" s="33" t="n">
        <v>0.415</v>
      </c>
      <c r="E42" s="34" t="n">
        <v>0</v>
      </c>
      <c r="F42" s="34" t="n">
        <v>1000</v>
      </c>
      <c r="G42" s="69">
        <f>E42+F42</f>
        <v/>
      </c>
      <c r="H42" s="76" t="n">
        <v>749.6</v>
      </c>
      <c r="I42" s="37" t="inlineStr">
        <is>
          <t>268g + 481.6g</t>
        </is>
      </c>
      <c r="J42" s="34" t="n">
        <v>1000</v>
      </c>
      <c r="K42" s="38">
        <f>H42-J42</f>
        <v/>
      </c>
      <c r="L42" s="39">
        <f>G42-H42</f>
        <v/>
      </c>
      <c r="M42" s="40">
        <f>H42*D42</f>
        <v/>
      </c>
      <c r="N42" s="41">
        <f>K42*D42</f>
        <v/>
      </c>
      <c r="O42" s="68" t="inlineStr">
        <is>
          <t>ℹ️ IN-USE / CONSUMED</t>
        </is>
      </c>
      <c r="P42" s="43" t="inlineStr">
        <is>
          <t>⚪</t>
        </is>
      </c>
      <c r="Q42" s="44" t="inlineStr">
        <is>
          <t>Aug 13 Delivery: 1kg (1,000g). 749.6g total on hand (268g dispenser + 481.6g tub). 250.4g used.</t>
        </is>
      </c>
    </row>
    <row r="43" ht="22" customHeight="1">
      <c r="A43" s="45" t="inlineStr">
        <is>
          <t>MIX-006</t>
        </is>
      </c>
      <c r="B43" s="46" t="inlineStr">
        <is>
          <t>Doreen Condensed Milk 390g</t>
        </is>
      </c>
      <c r="C43" s="47" t="inlineStr">
        <is>
          <t>cans</t>
        </is>
      </c>
      <c r="D43" s="48" t="n">
        <v>44</v>
      </c>
      <c r="E43" s="49" t="n">
        <v>24</v>
      </c>
      <c r="F43" s="49" t="n">
        <v>0</v>
      </c>
      <c r="G43" s="66">
        <f>E43+F43</f>
        <v/>
      </c>
      <c r="H43" s="74" t="n">
        <v>12.53</v>
      </c>
      <c r="I43" s="52" t="inlineStr">
        <is>
          <t>205g + 12cans</t>
        </is>
      </c>
      <c r="J43" s="67" t="n">
        <v>18.74</v>
      </c>
      <c r="K43" s="53">
        <f>H43-J43</f>
        <v/>
      </c>
      <c r="L43" s="54">
        <f>G43-H43</f>
        <v/>
      </c>
      <c r="M43" s="55">
        <f>H43*D43</f>
        <v/>
      </c>
      <c r="N43" s="56">
        <f>K43*D43</f>
        <v/>
      </c>
      <c r="O43" s="68" t="inlineStr">
        <is>
          <t>ℹ️ IN-USE / CONSUMED</t>
        </is>
      </c>
      <c r="P43" s="57" t="inlineStr">
        <is>
          <t>⚪</t>
        </is>
      </c>
      <c r="Q43" s="58" t="inlineStr">
        <is>
          <t>Aug 8 Beginning: 24.0 cans (full case). 11.47 cans consumed in Spanish Lattes. 12 sealed cans + 205g open can.</t>
        </is>
      </c>
    </row>
    <row r="44" ht="22" customHeight="1">
      <c r="A44" s="59" t="inlineStr">
        <is>
          <t>Subtotal — 5. CONDIMENTS, SPREADS &amp; MIXES:</t>
        </is>
      </c>
      <c r="B44" s="60" t="n"/>
      <c r="C44" s="60" t="n"/>
      <c r="D44" s="60" t="n"/>
      <c r="E44" s="61">
        <f>SUMPRODUCT(D38:D43, E38:E43)</f>
        <v/>
      </c>
      <c r="F44" s="61">
        <f>SUMPRODUCT(D38:D43, F38:F43)</f>
        <v/>
      </c>
      <c r="G44" s="61">
        <f>E44+F44</f>
        <v/>
      </c>
      <c r="H44" s="62">
        <f>SUM(H38:H43)</f>
        <v/>
      </c>
      <c r="I44" s="60" t="n"/>
      <c r="J44" s="62">
        <f>SUM(J38:J43)</f>
        <v/>
      </c>
      <c r="K44" s="63">
        <f>SUM(K38:K43)</f>
        <v/>
      </c>
      <c r="L44" s="61">
        <f>SUMPRODUCT(D38:D43, L38:L43)</f>
        <v/>
      </c>
      <c r="M44" s="64">
        <f>SUM(M38:M43)</f>
        <v/>
      </c>
      <c r="N44" s="65">
        <f>SUM(N38:N43)</f>
        <v/>
      </c>
      <c r="O44" s="60" t="n"/>
      <c r="P44" s="60" t="n"/>
      <c r="Q44" s="60" t="n"/>
    </row>
    <row r="45" ht="24" customHeight="1">
      <c r="A45" s="79" t="inlineStr">
        <is>
          <t>🍃  6. POWDERS &amp; BREWING TEA LEAVES</t>
        </is>
      </c>
    </row>
    <row r="46" ht="22" customHeight="1">
      <c r="A46" s="30" t="inlineStr">
        <is>
          <t>POW-001</t>
        </is>
      </c>
      <c r="B46" s="31" t="inlineStr">
        <is>
          <t>Oreo Crushed Cookie Crumbs 454g</t>
        </is>
      </c>
      <c r="C46" s="32" t="inlineStr">
        <is>
          <t>grams</t>
        </is>
      </c>
      <c r="D46" s="33" t="n">
        <v>0.385</v>
      </c>
      <c r="E46" s="34" t="n">
        <v>0</v>
      </c>
      <c r="F46" s="34" t="n">
        <v>454</v>
      </c>
      <c r="G46" s="69">
        <f>E46+F46</f>
        <v/>
      </c>
      <c r="H46" s="36" t="n">
        <v>296</v>
      </c>
      <c r="I46" s="37" t="inlineStr">
        <is>
          <t>296g</t>
        </is>
      </c>
      <c r="J46" s="34" t="n">
        <v>454</v>
      </c>
      <c r="K46" s="38">
        <f>H46-J46</f>
        <v/>
      </c>
      <c r="L46" s="39">
        <f>G46-H46</f>
        <v/>
      </c>
      <c r="M46" s="40">
        <f>H46*D46</f>
        <v/>
      </c>
      <c r="N46" s="41">
        <f>K46*D46</f>
        <v/>
      </c>
      <c r="O46" s="68" t="inlineStr">
        <is>
          <t>ℹ️ IN-USE / CONSUMED</t>
        </is>
      </c>
      <c r="P46" s="43" t="inlineStr">
        <is>
          <t>⚪</t>
        </is>
      </c>
      <c r="Q46" s="44" t="inlineStr">
        <is>
          <t>Aug 13 Delivery: 1 pack (454g). 158g used for Dirty Oreo &amp; frappes. 296g on station.</t>
        </is>
      </c>
    </row>
    <row r="47" ht="22" customHeight="1">
      <c r="A47" s="45" t="inlineStr">
        <is>
          <t>POW-002</t>
        </is>
      </c>
      <c r="B47" s="46" t="inlineStr">
        <is>
          <t>Easy Cookies &amp; Cream Powder 1kg</t>
        </is>
      </c>
      <c r="C47" s="47" t="inlineStr">
        <is>
          <t>grams</t>
        </is>
      </c>
      <c r="D47" s="48" t="n">
        <v>0.305</v>
      </c>
      <c r="E47" s="49" t="n">
        <v>0</v>
      </c>
      <c r="F47" s="49" t="n">
        <v>1000</v>
      </c>
      <c r="G47" s="66">
        <f>E47+F47</f>
        <v/>
      </c>
      <c r="H47" s="51" t="n">
        <v>897</v>
      </c>
      <c r="I47" s="52" t="inlineStr">
        <is>
          <t>615g + 282g</t>
        </is>
      </c>
      <c r="J47" s="49" t="n">
        <v>1000</v>
      </c>
      <c r="K47" s="53">
        <f>H47-J47</f>
        <v/>
      </c>
      <c r="L47" s="54">
        <f>G47-H47</f>
        <v/>
      </c>
      <c r="M47" s="55">
        <f>H47*D47</f>
        <v/>
      </c>
      <c r="N47" s="56">
        <f>K47*D47</f>
        <v/>
      </c>
      <c r="O47" s="68" t="inlineStr">
        <is>
          <t>ℹ️ IN-USE / CONSUMED</t>
        </is>
      </c>
      <c r="P47" s="57" t="inlineStr">
        <is>
          <t>⚪</t>
        </is>
      </c>
      <c r="Q47" s="58" t="inlineStr">
        <is>
          <t>Aug 13 Delivery: 1 pack (1,000g). 103g used. 897g total across container (282g) + pouch (615g).</t>
        </is>
      </c>
    </row>
    <row r="48" ht="22" customHeight="1">
      <c r="A48" s="30" t="inlineStr">
        <is>
          <t>POW-003</t>
        </is>
      </c>
      <c r="B48" s="31" t="inlineStr">
        <is>
          <t>Matcha Powder (Pure / Culinary)</t>
        </is>
      </c>
      <c r="C48" s="32" t="inlineStr">
        <is>
          <t>grams</t>
        </is>
      </c>
      <c r="D48" s="33" t="n">
        <v>1.2</v>
      </c>
      <c r="E48" s="34" t="n">
        <v>0</v>
      </c>
      <c r="F48" s="34" t="n">
        <v>300</v>
      </c>
      <c r="G48" s="69">
        <f>E48+F48</f>
        <v/>
      </c>
      <c r="H48" s="36" t="n">
        <v>101</v>
      </c>
      <c r="I48" s="37" t="inlineStr">
        <is>
          <t>101g</t>
        </is>
      </c>
      <c r="J48" s="34" t="n">
        <v>100</v>
      </c>
      <c r="K48" s="38">
        <f>H48-J48</f>
        <v/>
      </c>
      <c r="L48" s="39">
        <f>G48-H48</f>
        <v/>
      </c>
      <c r="M48" s="40">
        <f>H48*D48</f>
        <v/>
      </c>
      <c r="N48" s="41">
        <f>K48*D48</f>
        <v/>
      </c>
      <c r="O48" s="70" t="inlineStr">
        <is>
          <t>✅ MATCH</t>
        </is>
      </c>
      <c r="P48" s="43" t="inlineStr">
        <is>
          <t>🟢</t>
        </is>
      </c>
      <c r="Q48" s="44" t="inlineStr">
        <is>
          <t>Aug 13 Delivery: 3 packs (100g each = 300g). 101g currently in active bar canister.</t>
        </is>
      </c>
    </row>
    <row r="49" ht="22" customHeight="1">
      <c r="A49" s="45" t="inlineStr">
        <is>
          <t>POW-004</t>
        </is>
      </c>
      <c r="B49" s="46" t="inlineStr">
        <is>
          <t>Black Tea Leaves (Possmei Assam)</t>
        </is>
      </c>
      <c r="C49" s="47" t="inlineStr">
        <is>
          <t>grams</t>
        </is>
      </c>
      <c r="D49" s="48" t="n">
        <v>0.733</v>
      </c>
      <c r="E49" s="49" t="n">
        <v>0</v>
      </c>
      <c r="F49" s="49" t="n">
        <v>600</v>
      </c>
      <c r="G49" s="66">
        <f>E49+F49</f>
        <v/>
      </c>
      <c r="H49" s="51" t="n">
        <v>698</v>
      </c>
      <c r="I49" s="52" t="inlineStr">
        <is>
          <t>401g + 297g</t>
        </is>
      </c>
      <c r="J49" s="49" t="n">
        <v>600</v>
      </c>
      <c r="K49" s="53">
        <f>H49-J49</f>
        <v/>
      </c>
      <c r="L49" s="54">
        <f>G49-H49</f>
        <v/>
      </c>
      <c r="M49" s="55">
        <f>H49*D49</f>
        <v/>
      </c>
      <c r="N49" s="56">
        <f>K49*D49</f>
        <v/>
      </c>
      <c r="O49" s="42" t="inlineStr">
        <is>
          <t>🔺 SURPLUS / RESTOCK</t>
        </is>
      </c>
      <c r="P49" s="57" t="inlineStr">
        <is>
          <t>🔵</t>
        </is>
      </c>
      <c r="Q49" s="58" t="inlineStr">
        <is>
          <t>Aug 13 Delivery: 1 pack (600g). 698g total on hand across brewing jar (297g) + pack (401g).</t>
        </is>
      </c>
    </row>
    <row r="50" ht="22" customHeight="1">
      <c r="A50" s="30" t="inlineStr">
        <is>
          <t>POW-005</t>
        </is>
      </c>
      <c r="B50" s="31" t="inlineStr">
        <is>
          <t>Jasmine Green Tea Leaves (Possmei)</t>
        </is>
      </c>
      <c r="C50" s="32" t="inlineStr">
        <is>
          <t>grams</t>
        </is>
      </c>
      <c r="D50" s="33" t="n">
        <v>1.28</v>
      </c>
      <c r="E50" s="34" t="n">
        <v>0</v>
      </c>
      <c r="F50" s="34" t="n">
        <v>600</v>
      </c>
      <c r="G50" s="69">
        <f>E50+F50</f>
        <v/>
      </c>
      <c r="H50" s="36" t="n">
        <v>597</v>
      </c>
      <c r="I50" s="37" t="inlineStr">
        <is>
          <t>302g + 295g</t>
        </is>
      </c>
      <c r="J50" s="34" t="n">
        <v>600</v>
      </c>
      <c r="K50" s="38">
        <f>H50-J50</f>
        <v/>
      </c>
      <c r="L50" s="39">
        <f>G50-H50</f>
        <v/>
      </c>
      <c r="M50" s="40">
        <f>H50*D50</f>
        <v/>
      </c>
      <c r="N50" s="41">
        <f>K50*D50</f>
        <v/>
      </c>
      <c r="O50" s="70" t="inlineStr">
        <is>
          <t>✅ MATCH</t>
        </is>
      </c>
      <c r="P50" s="43" t="inlineStr">
        <is>
          <t>🟢</t>
        </is>
      </c>
      <c r="Q50" s="44" t="inlineStr">
        <is>
          <t>Aug 13 Delivery: 1 pack (600g). 597g total (295g station + 302g pack). Virtually exact match (99.5%)!</t>
        </is>
      </c>
    </row>
    <row r="51" ht="22" customHeight="1">
      <c r="A51" s="45" t="inlineStr">
        <is>
          <t>POW-006</t>
        </is>
      </c>
      <c r="B51" s="46" t="inlineStr">
        <is>
          <t>Easy Dark Choco Powder Base 1kg</t>
        </is>
      </c>
      <c r="C51" s="47" t="inlineStr">
        <is>
          <t>grams</t>
        </is>
      </c>
      <c r="D51" s="48" t="n">
        <v>0.396</v>
      </c>
      <c r="E51" s="49" t="n">
        <v>1000</v>
      </c>
      <c r="F51" s="49" t="n">
        <v>1000</v>
      </c>
      <c r="G51" s="66">
        <f>E51+F51</f>
        <v/>
      </c>
      <c r="H51" s="51" t="n">
        <v>1612</v>
      </c>
      <c r="I51" s="52" t="inlineStr">
        <is>
          <t>326g + 286g + 1pack (1kg)</t>
        </is>
      </c>
      <c r="J51" s="49" t="n">
        <v>1000</v>
      </c>
      <c r="K51" s="53">
        <f>H51-J51</f>
        <v/>
      </c>
      <c r="L51" s="54">
        <f>G51-H51</f>
        <v/>
      </c>
      <c r="M51" s="55">
        <f>H51*D51</f>
        <v/>
      </c>
      <c r="N51" s="56">
        <f>K51*D51</f>
        <v/>
      </c>
      <c r="O51" s="42" t="inlineStr">
        <is>
          <t>🔺 SURPLUS / RESTOCK</t>
        </is>
      </c>
      <c r="P51" s="57" t="inlineStr">
        <is>
          <t>🔵</t>
        </is>
      </c>
      <c r="Q51" s="58" t="inlineStr">
        <is>
          <t>Aug 8 Beginning: 1,000g + Aug 13 Delivery: 1,000g = 2,000g Total. 388g used. 1 full sealed pack + 612g active.</t>
        </is>
      </c>
    </row>
    <row r="52" ht="22" customHeight="1">
      <c r="A52" s="30" t="inlineStr">
        <is>
          <t>POW-007</t>
        </is>
      </c>
      <c r="B52" s="31" t="inlineStr">
        <is>
          <t>Artisanal Salted Cream Cheese Powder</t>
        </is>
      </c>
      <c r="C52" s="32" t="inlineStr">
        <is>
          <t>grams</t>
        </is>
      </c>
      <c r="D52" s="33" t="n">
        <v>0.4</v>
      </c>
      <c r="E52" s="34" t="n">
        <v>0</v>
      </c>
      <c r="F52" s="34" t="n">
        <v>1000</v>
      </c>
      <c r="G52" s="69">
        <f>E52+F52</f>
        <v/>
      </c>
      <c r="H52" s="36" t="n">
        <v>448</v>
      </c>
      <c r="I52" s="37" t="inlineStr">
        <is>
          <t>448g</t>
        </is>
      </c>
      <c r="J52" s="34" t="n">
        <v>500</v>
      </c>
      <c r="K52" s="38">
        <f>H52-J52</f>
        <v/>
      </c>
      <c r="L52" s="39">
        <f>G52-H52</f>
        <v/>
      </c>
      <c r="M52" s="40">
        <f>H52*D52</f>
        <v/>
      </c>
      <c r="N52" s="41">
        <f>K52*D52</f>
        <v/>
      </c>
      <c r="O52" s="68" t="inlineStr">
        <is>
          <t>ℹ️ IN-USE / CONSUMED</t>
        </is>
      </c>
      <c r="P52" s="43" t="inlineStr">
        <is>
          <t>⚪</t>
        </is>
      </c>
      <c r="Q52" s="44" t="inlineStr">
        <is>
          <t>Aug 13 Delivery: 2 packs (~1,000g). 448g on bar for cheese foam &amp; seasalt cold foam prep.</t>
        </is>
      </c>
    </row>
    <row r="53" ht="22" customHeight="1">
      <c r="A53" s="59" t="inlineStr">
        <is>
          <t>Subtotal — 6. POWDERS &amp; BREWING TEA LEAVES:</t>
        </is>
      </c>
      <c r="B53" s="60" t="n"/>
      <c r="C53" s="60" t="n"/>
      <c r="D53" s="60" t="n"/>
      <c r="E53" s="61">
        <f>SUMPRODUCT(D46:D52, E46:E52)</f>
        <v/>
      </c>
      <c r="F53" s="61">
        <f>SUMPRODUCT(D46:D52, F46:F52)</f>
        <v/>
      </c>
      <c r="G53" s="61">
        <f>E53+F53</f>
        <v/>
      </c>
      <c r="H53" s="62">
        <f>SUM(H46:H52)</f>
        <v/>
      </c>
      <c r="I53" s="60" t="n"/>
      <c r="J53" s="62">
        <f>SUM(J46:J52)</f>
        <v/>
      </c>
      <c r="K53" s="63">
        <f>SUM(K46:K52)</f>
        <v/>
      </c>
      <c r="L53" s="61">
        <f>SUMPRODUCT(D46:D52, L46:L52)</f>
        <v/>
      </c>
      <c r="M53" s="64">
        <f>SUM(M46:M52)</f>
        <v/>
      </c>
      <c r="N53" s="65">
        <f>SUM(N46:N52)</f>
        <v/>
      </c>
      <c r="O53" s="60" t="n"/>
      <c r="P53" s="60" t="n"/>
      <c r="Q53" s="60" t="n"/>
    </row>
    <row r="54" ht="24" customHeight="1">
      <c r="A54" s="80" t="inlineStr">
        <is>
          <t>🍵  7. DILMAH SPECIALTY TEA PACKS</t>
        </is>
      </c>
    </row>
    <row r="55" ht="22" customHeight="1">
      <c r="A55" s="45" t="inlineStr">
        <is>
          <t>DLM-001</t>
        </is>
      </c>
      <c r="B55" s="46" t="inlineStr">
        <is>
          <t>Dilmah Pure Chamomile Flowers Tea</t>
        </is>
      </c>
      <c r="C55" s="47" t="inlineStr">
        <is>
          <t>sachets</t>
        </is>
      </c>
      <c r="D55" s="48" t="n">
        <v>45</v>
      </c>
      <c r="E55" s="49" t="n">
        <v>0</v>
      </c>
      <c r="F55" s="49" t="n">
        <v>100</v>
      </c>
      <c r="G55" s="50">
        <f>E55+F55</f>
        <v/>
      </c>
      <c r="H55" s="51" t="n">
        <v>100</v>
      </c>
      <c r="I55" s="52" t="inlineStr">
        <is>
          <t>100pcs</t>
        </is>
      </c>
      <c r="J55" s="49" t="n">
        <v>100</v>
      </c>
      <c r="K55" s="53">
        <f>H55-J55</f>
        <v/>
      </c>
      <c r="L55" s="54">
        <f>G55-H55</f>
        <v/>
      </c>
      <c r="M55" s="55">
        <f>H55*D55</f>
        <v/>
      </c>
      <c r="N55" s="56">
        <f>K55*D55</f>
        <v/>
      </c>
      <c r="O55" s="70" t="inlineStr">
        <is>
          <t>✅ MATCH</t>
        </is>
      </c>
      <c r="P55" s="57" t="inlineStr">
        <is>
          <t>🟢</t>
        </is>
      </c>
      <c r="Q55" s="58" t="inlineStr">
        <is>
          <t>Aug 24 Delivery: 100 sachets (1 box). 100% PERFECT MATCH to POS stock (100 sachets). Zero shrinkage.</t>
        </is>
      </c>
    </row>
    <row r="56" ht="22" customHeight="1">
      <c r="A56" s="30" t="inlineStr">
        <is>
          <t>DLM-002</t>
        </is>
      </c>
      <c r="B56" s="31" t="inlineStr">
        <is>
          <t>Dilmah Earl Grey Tea</t>
        </is>
      </c>
      <c r="C56" s="32" t="inlineStr">
        <is>
          <t>sachets</t>
        </is>
      </c>
      <c r="D56" s="33" t="n">
        <v>45</v>
      </c>
      <c r="E56" s="34" t="n">
        <v>0</v>
      </c>
      <c r="F56" s="34" t="n">
        <v>100</v>
      </c>
      <c r="G56" s="35">
        <f>E56+F56</f>
        <v/>
      </c>
      <c r="H56" s="36" t="n">
        <v>93</v>
      </c>
      <c r="I56" s="37" t="inlineStr">
        <is>
          <t>93pcs</t>
        </is>
      </c>
      <c r="J56" s="34" t="n">
        <v>91</v>
      </c>
      <c r="K56" s="38">
        <f>H56-J56</f>
        <v/>
      </c>
      <c r="L56" s="39">
        <f>G56-H56</f>
        <v/>
      </c>
      <c r="M56" s="40">
        <f>H56*D56</f>
        <v/>
      </c>
      <c r="N56" s="41">
        <f>K56*D56</f>
        <v/>
      </c>
      <c r="O56" s="70" t="inlineStr">
        <is>
          <t>✅ MATCH</t>
        </is>
      </c>
      <c r="P56" s="43" t="inlineStr">
        <is>
          <t>🟢</t>
        </is>
      </c>
      <c r="Q56" s="44" t="inlineStr">
        <is>
          <t>Aug 24 Delivery: 100 sachets (1 box). 7 sold. 93 sachets counted. POS recorded 91 sachets (minor +2 variance).</t>
        </is>
      </c>
    </row>
    <row r="57" ht="22" customHeight="1">
      <c r="A57" s="45" t="inlineStr">
        <is>
          <t>DLM-003</t>
        </is>
      </c>
      <c r="B57" s="46" t="inlineStr">
        <is>
          <t>Dilmah Pure Peppermint Leaves Tea</t>
        </is>
      </c>
      <c r="C57" s="47" t="inlineStr">
        <is>
          <t>sachets</t>
        </is>
      </c>
      <c r="D57" s="48" t="n">
        <v>45</v>
      </c>
      <c r="E57" s="49" t="n">
        <v>0</v>
      </c>
      <c r="F57" s="49" t="n">
        <v>100</v>
      </c>
      <c r="G57" s="50">
        <f>E57+F57</f>
        <v/>
      </c>
      <c r="H57" s="51" t="n">
        <v>98</v>
      </c>
      <c r="I57" s="52" t="inlineStr">
        <is>
          <t>98pcs</t>
        </is>
      </c>
      <c r="J57" s="49" t="n">
        <v>98</v>
      </c>
      <c r="K57" s="53">
        <f>H57-J57</f>
        <v/>
      </c>
      <c r="L57" s="54">
        <f>G57-H57</f>
        <v/>
      </c>
      <c r="M57" s="55">
        <f>H57*D57</f>
        <v/>
      </c>
      <c r="N57" s="56">
        <f>K57*D57</f>
        <v/>
      </c>
      <c r="O57" s="70" t="inlineStr">
        <is>
          <t>✅ MATCH</t>
        </is>
      </c>
      <c r="P57" s="57" t="inlineStr">
        <is>
          <t>🟢</t>
        </is>
      </c>
      <c r="Q57" s="58" t="inlineStr">
        <is>
          <t>Aug 24 Delivery: 100 sachets (1 box). 2 sold. 100% PERFECT MATCH to POS stock (98 sachets).</t>
        </is>
      </c>
    </row>
    <row r="58" ht="22" customHeight="1">
      <c r="A58" s="30" t="inlineStr">
        <is>
          <t>DLM-004</t>
        </is>
      </c>
      <c r="B58" s="31" t="inlineStr">
        <is>
          <t>Dilmah Gourmet Pure Green Tea</t>
        </is>
      </c>
      <c r="C58" s="32" t="inlineStr">
        <is>
          <t>sachets</t>
        </is>
      </c>
      <c r="D58" s="33" t="n">
        <v>45</v>
      </c>
      <c r="E58" s="34" t="n">
        <v>0</v>
      </c>
      <c r="F58" s="34" t="n">
        <v>100</v>
      </c>
      <c r="G58" s="35">
        <f>E58+F58</f>
        <v/>
      </c>
      <c r="H58" s="36" t="n">
        <v>100</v>
      </c>
      <c r="I58" s="37" t="inlineStr">
        <is>
          <t>100pcs</t>
        </is>
      </c>
      <c r="J58" s="34" t="n">
        <v>100</v>
      </c>
      <c r="K58" s="38">
        <f>H58-J58</f>
        <v/>
      </c>
      <c r="L58" s="39">
        <f>G58-H58</f>
        <v/>
      </c>
      <c r="M58" s="40">
        <f>H58*D58</f>
        <v/>
      </c>
      <c r="N58" s="41">
        <f>K58*D58</f>
        <v/>
      </c>
      <c r="O58" s="70" t="inlineStr">
        <is>
          <t>✅ MATCH</t>
        </is>
      </c>
      <c r="P58" s="43" t="inlineStr">
        <is>
          <t>🟢</t>
        </is>
      </c>
      <c r="Q58" s="44" t="inlineStr">
        <is>
          <t>Aug 24 Delivery: 100 sachets (1 box). 100% PERFECT MATCH to POS stock (100 sachets). Zero shrinkage.</t>
        </is>
      </c>
    </row>
    <row r="59" ht="22" customHeight="1">
      <c r="A59" s="45" t="inlineStr">
        <is>
          <t>DLM-005</t>
        </is>
      </c>
      <c r="B59" s="46" t="inlineStr">
        <is>
          <t>Dilmah Traditional Oolong Tea</t>
        </is>
      </c>
      <c r="C59" s="47" t="inlineStr">
        <is>
          <t>sachets</t>
        </is>
      </c>
      <c r="D59" s="48" t="n">
        <v>45</v>
      </c>
      <c r="E59" s="49" t="n">
        <v>0</v>
      </c>
      <c r="F59" s="49" t="n">
        <v>100</v>
      </c>
      <c r="G59" s="50">
        <f>E59+F59</f>
        <v/>
      </c>
      <c r="H59" s="51" t="n">
        <v>100</v>
      </c>
      <c r="I59" s="52" t="inlineStr">
        <is>
          <t>100pcs</t>
        </is>
      </c>
      <c r="J59" s="49" t="n">
        <v>100</v>
      </c>
      <c r="K59" s="53">
        <f>H59-J59</f>
        <v/>
      </c>
      <c r="L59" s="54">
        <f>G59-H59</f>
        <v/>
      </c>
      <c r="M59" s="55">
        <f>H59*D59</f>
        <v/>
      </c>
      <c r="N59" s="56">
        <f>K59*D59</f>
        <v/>
      </c>
      <c r="O59" s="70" t="inlineStr">
        <is>
          <t>✅ MATCH</t>
        </is>
      </c>
      <c r="P59" s="57" t="inlineStr">
        <is>
          <t>🟢</t>
        </is>
      </c>
      <c r="Q59" s="58" t="inlineStr">
        <is>
          <t>Aug 24 Delivery: 100 sachets (1 box). 100% PERFECT MATCH to POS stock (100 sachets). Zero shrinkage.</t>
        </is>
      </c>
    </row>
    <row r="60" ht="22" customHeight="1">
      <c r="A60" s="30" t="inlineStr">
        <is>
          <t>DLM-006</t>
        </is>
      </c>
      <c r="B60" s="31" t="inlineStr">
        <is>
          <t>Dilmah Green Tea with Jasmine</t>
        </is>
      </c>
      <c r="C60" s="32" t="inlineStr">
        <is>
          <t>sachets</t>
        </is>
      </c>
      <c r="D60" s="33" t="n">
        <v>45</v>
      </c>
      <c r="E60" s="34" t="n">
        <v>0</v>
      </c>
      <c r="F60" s="34" t="n">
        <v>100</v>
      </c>
      <c r="G60" s="35">
        <f>E60+F60</f>
        <v/>
      </c>
      <c r="H60" s="36" t="n">
        <v>100</v>
      </c>
      <c r="I60" s="37" t="inlineStr">
        <is>
          <t>100pcs</t>
        </is>
      </c>
      <c r="J60" s="34" t="n">
        <v>100</v>
      </c>
      <c r="K60" s="38">
        <f>H60-J60</f>
        <v/>
      </c>
      <c r="L60" s="39">
        <f>G60-H60</f>
        <v/>
      </c>
      <c r="M60" s="40">
        <f>H60*D60</f>
        <v/>
      </c>
      <c r="N60" s="41">
        <f>K60*D60</f>
        <v/>
      </c>
      <c r="O60" s="70" t="inlineStr">
        <is>
          <t>✅ MATCH</t>
        </is>
      </c>
      <c r="P60" s="43" t="inlineStr">
        <is>
          <t>🟢</t>
        </is>
      </c>
      <c r="Q60" s="44" t="inlineStr">
        <is>
          <t>Aug 24 Delivery: 100 sachets (1 box). 100% PERFECT MATCH to POS stock (100 sachets). Zero shrinkage.</t>
        </is>
      </c>
    </row>
    <row r="61" ht="22" customHeight="1">
      <c r="A61" s="59" t="inlineStr">
        <is>
          <t>Subtotal — 7. DILMAH SPECIALTY TEA PACKS:</t>
        </is>
      </c>
      <c r="B61" s="60" t="n"/>
      <c r="C61" s="60" t="n"/>
      <c r="D61" s="60" t="n"/>
      <c r="E61" s="61">
        <f>SUMPRODUCT(D55:D60, E55:E60)</f>
        <v/>
      </c>
      <c r="F61" s="61">
        <f>SUMPRODUCT(D55:D60, F55:F60)</f>
        <v/>
      </c>
      <c r="G61" s="61">
        <f>E61+F61</f>
        <v/>
      </c>
      <c r="H61" s="62">
        <f>SUM(H55:H60)</f>
        <v/>
      </c>
      <c r="I61" s="60" t="n"/>
      <c r="J61" s="62">
        <f>SUM(J55:J60)</f>
        <v/>
      </c>
      <c r="K61" s="63">
        <f>SUM(K55:K60)</f>
        <v/>
      </c>
      <c r="L61" s="61">
        <f>SUMPRODUCT(D55:D60, L55:L60)</f>
        <v/>
      </c>
      <c r="M61" s="64">
        <f>SUM(M55:M60)</f>
        <v/>
      </c>
      <c r="N61" s="65">
        <f>SUM(N55:N60)</f>
        <v/>
      </c>
      <c r="O61" s="60" t="n"/>
      <c r="P61" s="60" t="n"/>
      <c r="Q61" s="60" t="n"/>
    </row>
    <row r="62" ht="24" customHeight="1">
      <c r="A62" s="81" t="inlineStr">
        <is>
          <t>🥨  8. GRAB-AND-GO RETAIL SNACKS</t>
        </is>
      </c>
    </row>
    <row r="63" ht="22" customHeight="1">
      <c r="A63" s="45" t="inlineStr">
        <is>
          <t>SNK-001</t>
        </is>
      </c>
      <c r="B63" s="46" t="inlineStr">
        <is>
          <t>Pringles Cheddar Cheese 158g</t>
        </is>
      </c>
      <c r="C63" s="47" t="inlineStr">
        <is>
          <t>cans</t>
        </is>
      </c>
      <c r="D63" s="48" t="n">
        <v>98</v>
      </c>
      <c r="E63" s="49" t="n">
        <v>0</v>
      </c>
      <c r="F63" s="49" t="n">
        <v>3</v>
      </c>
      <c r="G63" s="50">
        <f>E63+F63</f>
        <v/>
      </c>
      <c r="H63" s="51" t="n">
        <v>3</v>
      </c>
      <c r="I63" s="52" t="inlineStr">
        <is>
          <t>3pcs</t>
        </is>
      </c>
      <c r="J63" s="49" t="n">
        <v>10</v>
      </c>
      <c r="K63" s="53">
        <f>H63-J63</f>
        <v/>
      </c>
      <c r="L63" s="54">
        <f>G63-H63</f>
        <v/>
      </c>
      <c r="M63" s="55">
        <f>H63*D63</f>
        <v/>
      </c>
      <c r="N63" s="56">
        <f>K63*D63</f>
        <v/>
      </c>
      <c r="O63" s="75" t="inlineStr">
        <is>
          <t>⚠️ LOW STOCK</t>
        </is>
      </c>
      <c r="P63" s="57" t="inlineStr">
        <is>
          <t>🟡</t>
        </is>
      </c>
      <c r="Q63" s="58" t="inlineStr">
        <is>
          <t>Aug 24 Delivery: 3 cans (initial batch 10 cans). ⚠️ LOW STOCK: 3 cans remaining. Reorder 1 case.</t>
        </is>
      </c>
    </row>
    <row r="64" ht="22" customHeight="1">
      <c r="A64" s="30" t="inlineStr">
        <is>
          <t>SNK-002</t>
        </is>
      </c>
      <c r="B64" s="31" t="inlineStr">
        <is>
          <t>Pringles Original 158g</t>
        </is>
      </c>
      <c r="C64" s="32" t="inlineStr">
        <is>
          <t>cans</t>
        </is>
      </c>
      <c r="D64" s="33" t="n">
        <v>98</v>
      </c>
      <c r="E64" s="34" t="n">
        <v>0</v>
      </c>
      <c r="F64" s="34" t="n">
        <v>3</v>
      </c>
      <c r="G64" s="35">
        <f>E64+F64</f>
        <v/>
      </c>
      <c r="H64" s="36" t="n">
        <v>3</v>
      </c>
      <c r="I64" s="37" t="inlineStr">
        <is>
          <t>3pcs</t>
        </is>
      </c>
      <c r="J64" s="34" t="n">
        <v>10</v>
      </c>
      <c r="K64" s="38">
        <f>H64-J64</f>
        <v/>
      </c>
      <c r="L64" s="39">
        <f>G64-H64</f>
        <v/>
      </c>
      <c r="M64" s="40">
        <f>H64*D64</f>
        <v/>
      </c>
      <c r="N64" s="41">
        <f>K64*D64</f>
        <v/>
      </c>
      <c r="O64" s="75" t="inlineStr">
        <is>
          <t>⚠️ LOW STOCK</t>
        </is>
      </c>
      <c r="P64" s="43" t="inlineStr">
        <is>
          <t>🟡</t>
        </is>
      </c>
      <c r="Q64" s="44" t="inlineStr">
        <is>
          <t>Aug 24 Delivery: 3 cans (initial batch 10 cans). ⚠️ LOW STOCK: 3 cans remaining. Reorder 1 case.</t>
        </is>
      </c>
    </row>
    <row r="65" ht="22" customHeight="1">
      <c r="A65" s="45" t="inlineStr">
        <is>
          <t>SNK-003</t>
        </is>
      </c>
      <c r="B65" s="46" t="inlineStr">
        <is>
          <t>Pringles Sour Cream &amp; Onion 158g</t>
        </is>
      </c>
      <c r="C65" s="47" t="inlineStr">
        <is>
          <t>cans</t>
        </is>
      </c>
      <c r="D65" s="48" t="n">
        <v>98</v>
      </c>
      <c r="E65" s="49" t="n">
        <v>0</v>
      </c>
      <c r="F65" s="49" t="n">
        <v>3</v>
      </c>
      <c r="G65" s="50">
        <f>E65+F65</f>
        <v/>
      </c>
      <c r="H65" s="51" t="n">
        <v>0</v>
      </c>
      <c r="I65" s="52" t="inlineStr">
        <is>
          <t>empty</t>
        </is>
      </c>
      <c r="J65" s="49" t="n">
        <v>10</v>
      </c>
      <c r="K65" s="53">
        <f>H65-J65</f>
        <v/>
      </c>
      <c r="L65" s="54">
        <f>G65-H65</f>
        <v/>
      </c>
      <c r="M65" s="55">
        <f>H65*D65</f>
        <v/>
      </c>
      <c r="N65" s="56">
        <f>K65*D65</f>
        <v/>
      </c>
      <c r="O65" s="73" t="inlineStr">
        <is>
          <t>🚨 OUT OF STOCK</t>
        </is>
      </c>
      <c r="P65" s="57" t="inlineStr">
        <is>
          <t>🔴</t>
        </is>
      </c>
      <c r="Q65" s="58" t="inlineStr">
        <is>
          <t>Aug 24 Delivery: 3 cans (initial batch 10 cans). 🚨 OUT OF STOCK: Completely sold out. Reorder 1 case urgent.</t>
        </is>
      </c>
    </row>
    <row r="66" ht="22" customHeight="1">
      <c r="A66" s="30" t="inlineStr">
        <is>
          <t>SNK-004</t>
        </is>
      </c>
      <c r="B66" s="31" t="inlineStr">
        <is>
          <t>Cheetos Cheddar Jalapeño 226.8g</t>
        </is>
      </c>
      <c r="C66" s="32" t="inlineStr">
        <is>
          <t>packs</t>
        </is>
      </c>
      <c r="D66" s="33" t="n">
        <v>98</v>
      </c>
      <c r="E66" s="34" t="n">
        <v>0</v>
      </c>
      <c r="F66" s="34" t="n">
        <v>3</v>
      </c>
      <c r="G66" s="35">
        <f>E66+F66</f>
        <v/>
      </c>
      <c r="H66" s="36" t="n">
        <v>3</v>
      </c>
      <c r="I66" s="37" t="inlineStr">
        <is>
          <t>3pcs</t>
        </is>
      </c>
      <c r="J66" s="34" t="n">
        <v>8</v>
      </c>
      <c r="K66" s="38">
        <f>H66-J66</f>
        <v/>
      </c>
      <c r="L66" s="39">
        <f>G66-H66</f>
        <v/>
      </c>
      <c r="M66" s="40">
        <f>H66*D66</f>
        <v/>
      </c>
      <c r="N66" s="41">
        <f>K66*D66</f>
        <v/>
      </c>
      <c r="O66" s="75" t="inlineStr">
        <is>
          <t>⚠️ LOW STOCK</t>
        </is>
      </c>
      <c r="P66" s="43" t="inlineStr">
        <is>
          <t>🟡</t>
        </is>
      </c>
      <c r="Q66" s="44" t="inlineStr">
        <is>
          <t>Aug 24 Delivery: 3 packs. ⚠️ LOW STOCK: 3 packs remaining. Reorder 1 batch (8 packs).</t>
        </is>
      </c>
    </row>
    <row r="67" ht="22" customHeight="1">
      <c r="A67" s="45" t="inlineStr">
        <is>
          <t>SNK-005</t>
        </is>
      </c>
      <c r="B67" s="46" t="inlineStr">
        <is>
          <t>Butter Lover Popcorn Bags</t>
        </is>
      </c>
      <c r="C67" s="47" t="inlineStr">
        <is>
          <t>bags</t>
        </is>
      </c>
      <c r="D67" s="48" t="n">
        <v>85</v>
      </c>
      <c r="E67" s="49" t="n">
        <v>0</v>
      </c>
      <c r="F67" s="49" t="n">
        <v>32</v>
      </c>
      <c r="G67" s="50">
        <f>E67+F67</f>
        <v/>
      </c>
      <c r="H67" s="51" t="n">
        <v>32</v>
      </c>
      <c r="I67" s="52" t="inlineStr">
        <is>
          <t>32packs</t>
        </is>
      </c>
      <c r="J67" s="49" t="n">
        <v>12</v>
      </c>
      <c r="K67" s="53">
        <f>H67-J67</f>
        <v/>
      </c>
      <c r="L67" s="54">
        <f>G67-H67</f>
        <v/>
      </c>
      <c r="M67" s="55">
        <f>H67*D67</f>
        <v/>
      </c>
      <c r="N67" s="56">
        <f>K67*D67</f>
        <v/>
      </c>
      <c r="O67" s="42" t="inlineStr">
        <is>
          <t>🔺 SURPLUS / RESTOCK</t>
        </is>
      </c>
      <c r="P67" s="57" t="inlineStr">
        <is>
          <t>🔵</t>
        </is>
      </c>
      <c r="Q67" s="58" t="inlineStr">
        <is>
          <t>Aug 24 Delivery: 32 bags (1 box). Plentiful inventory: 32 bags on shelf/backroom. Full stock.</t>
        </is>
      </c>
    </row>
    <row r="68" ht="22" customHeight="1">
      <c r="A68" s="59" t="inlineStr">
        <is>
          <t>Subtotal — 8. GRAB-AND-GO RETAIL SNACKS:</t>
        </is>
      </c>
      <c r="B68" s="60" t="n"/>
      <c r="C68" s="60" t="n"/>
      <c r="D68" s="60" t="n"/>
      <c r="E68" s="61">
        <f>SUMPRODUCT(D63:D67, E63:E67)</f>
        <v/>
      </c>
      <c r="F68" s="61">
        <f>SUMPRODUCT(D63:D67, F63:F67)</f>
        <v/>
      </c>
      <c r="G68" s="61">
        <f>E68+F68</f>
        <v/>
      </c>
      <c r="H68" s="62">
        <f>SUM(H63:H67)</f>
        <v/>
      </c>
      <c r="I68" s="60" t="n"/>
      <c r="J68" s="62">
        <f>SUM(J63:J67)</f>
        <v/>
      </c>
      <c r="K68" s="63">
        <f>SUM(K63:K67)</f>
        <v/>
      </c>
      <c r="L68" s="61">
        <f>SUMPRODUCT(D63:D67, L63:L67)</f>
        <v/>
      </c>
      <c r="M68" s="64">
        <f>SUM(M63:M67)</f>
        <v/>
      </c>
      <c r="N68" s="65">
        <f>SUM(N63:N67)</f>
        <v/>
      </c>
      <c r="O68" s="60" t="n"/>
      <c r="P68" s="60" t="n"/>
      <c r="Q68" s="60" t="n"/>
    </row>
    <row r="69" ht="24" customHeight="1">
      <c r="A69" s="72" t="inlineStr">
        <is>
          <t>🥤  9. RETAIL DRINKS, WATER &amp; BEERS</t>
        </is>
      </c>
    </row>
    <row r="70" ht="22" customHeight="1">
      <c r="A70" s="30" t="inlineStr">
        <is>
          <t>BEV-001</t>
        </is>
      </c>
      <c r="B70" s="31" t="inlineStr">
        <is>
          <t>Coca-Cola Zero Sugar 320ml Can</t>
        </is>
      </c>
      <c r="C70" s="32" t="inlineStr">
        <is>
          <t>cans</t>
        </is>
      </c>
      <c r="D70" s="33" t="n">
        <v>35</v>
      </c>
      <c r="E70" s="34" t="n">
        <v>0</v>
      </c>
      <c r="F70" s="34" t="n">
        <v>24</v>
      </c>
      <c r="G70" s="35">
        <f>E70+F70</f>
        <v/>
      </c>
      <c r="H70" s="36" t="n">
        <v>20</v>
      </c>
      <c r="I70" s="37" t="inlineStr">
        <is>
          <t>20pcs</t>
        </is>
      </c>
      <c r="J70" s="34" t="n">
        <v>17</v>
      </c>
      <c r="K70" s="38">
        <f>H70-J70</f>
        <v/>
      </c>
      <c r="L70" s="39">
        <f>G70-H70</f>
        <v/>
      </c>
      <c r="M70" s="40">
        <f>H70*D70</f>
        <v/>
      </c>
      <c r="N70" s="41">
        <f>K70*D70</f>
        <v/>
      </c>
      <c r="O70" s="70" t="inlineStr">
        <is>
          <t>✅ MATCH</t>
        </is>
      </c>
      <c r="P70" s="43" t="inlineStr">
        <is>
          <t>🟢</t>
        </is>
      </c>
      <c r="Q70" s="44" t="inlineStr">
        <is>
          <t>Aug 24 Delivery: 24 cans (1 case). 4 sold (20 remaining). POS recorded 7 sold (minor +3 delta).</t>
        </is>
      </c>
    </row>
    <row r="71" ht="22" customHeight="1">
      <c r="A71" s="45" t="inlineStr">
        <is>
          <t>BEV-002</t>
        </is>
      </c>
      <c r="B71" s="46" t="inlineStr">
        <is>
          <t>Coca-Cola Regular 320ml Can</t>
        </is>
      </c>
      <c r="C71" s="47" t="inlineStr">
        <is>
          <t>cans</t>
        </is>
      </c>
      <c r="D71" s="48" t="n">
        <v>35</v>
      </c>
      <c r="E71" s="49" t="n">
        <v>0</v>
      </c>
      <c r="F71" s="49" t="n">
        <v>24</v>
      </c>
      <c r="G71" s="50">
        <f>E71+F71</f>
        <v/>
      </c>
      <c r="H71" s="51" t="n">
        <v>24</v>
      </c>
      <c r="I71" s="52" t="inlineStr">
        <is>
          <t>24pcs</t>
        </is>
      </c>
      <c r="J71" s="49" t="n">
        <v>23</v>
      </c>
      <c r="K71" s="53">
        <f>H71-J71</f>
        <v/>
      </c>
      <c r="L71" s="54">
        <f>G71-H71</f>
        <v/>
      </c>
      <c r="M71" s="55">
        <f>H71*D71</f>
        <v/>
      </c>
      <c r="N71" s="56">
        <f>K71*D71</f>
        <v/>
      </c>
      <c r="O71" s="70" t="inlineStr">
        <is>
          <t>✅ MATCH</t>
        </is>
      </c>
      <c r="P71" s="57" t="inlineStr">
        <is>
          <t>🟢</t>
        </is>
      </c>
      <c r="Q71" s="58" t="inlineStr">
        <is>
          <t>Aug 24 Delivery: 24 cans (1 case). 24 cans full case on hand. Healthy inventory.</t>
        </is>
      </c>
    </row>
    <row r="72" ht="22" customHeight="1">
      <c r="A72" s="30" t="inlineStr">
        <is>
          <t>BEV-003</t>
        </is>
      </c>
      <c r="B72" s="31" t="inlineStr">
        <is>
          <t>Sprite Soda 320ml Can</t>
        </is>
      </c>
      <c r="C72" s="32" t="inlineStr">
        <is>
          <t>cans</t>
        </is>
      </c>
      <c r="D72" s="33" t="n">
        <v>35</v>
      </c>
      <c r="E72" s="34" t="n">
        <v>0</v>
      </c>
      <c r="F72" s="34" t="n">
        <v>24</v>
      </c>
      <c r="G72" s="35">
        <f>E72+F72</f>
        <v/>
      </c>
      <c r="H72" s="36" t="n">
        <v>21</v>
      </c>
      <c r="I72" s="37" t="inlineStr">
        <is>
          <t>21pcs</t>
        </is>
      </c>
      <c r="J72" s="34" t="n">
        <v>18</v>
      </c>
      <c r="K72" s="38">
        <f>H72-J72</f>
        <v/>
      </c>
      <c r="L72" s="39">
        <f>G72-H72</f>
        <v/>
      </c>
      <c r="M72" s="40">
        <f>H72*D72</f>
        <v/>
      </c>
      <c r="N72" s="41">
        <f>K72*D72</f>
        <v/>
      </c>
      <c r="O72" s="70" t="inlineStr">
        <is>
          <t>✅ MATCH</t>
        </is>
      </c>
      <c r="P72" s="43" t="inlineStr">
        <is>
          <t>🟢</t>
        </is>
      </c>
      <c r="Q72" s="44" t="inlineStr">
        <is>
          <t>Aug 24 Delivery: 24 cans (1 case). 3 sold (21 remaining in chiller). POS recorded 6 sold.</t>
        </is>
      </c>
    </row>
    <row r="73" ht="22" customHeight="1">
      <c r="A73" s="45" t="inlineStr">
        <is>
          <t>BEV-004</t>
        </is>
      </c>
      <c r="B73" s="46" t="inlineStr">
        <is>
          <t>Sprite 1.5L Bottle (Bar Mixer)</t>
        </is>
      </c>
      <c r="C73" s="47" t="inlineStr">
        <is>
          <t>bottles</t>
        </is>
      </c>
      <c r="D73" s="48" t="n">
        <v>69.5</v>
      </c>
      <c r="E73" s="49" t="n">
        <v>4</v>
      </c>
      <c r="F73" s="49" t="n">
        <v>6</v>
      </c>
      <c r="G73" s="66">
        <f>E73+F73</f>
        <v/>
      </c>
      <c r="H73" s="74" t="n">
        <v>1.5</v>
      </c>
      <c r="I73" s="52" t="inlineStr">
        <is>
          <t>1bottle and half bottle</t>
        </is>
      </c>
      <c r="J73" s="49" t="n">
        <v>2</v>
      </c>
      <c r="K73" s="53">
        <f>H73-J73</f>
        <v/>
      </c>
      <c r="L73" s="54">
        <f>G73-H73</f>
        <v/>
      </c>
      <c r="M73" s="55">
        <f>H73*D73</f>
        <v/>
      </c>
      <c r="N73" s="56">
        <f>K73*D73</f>
        <v/>
      </c>
      <c r="O73" s="68" t="inlineStr">
        <is>
          <t>ℹ️ IN-USE / CONSUMED</t>
        </is>
      </c>
      <c r="P73" s="57" t="inlineStr">
        <is>
          <t>⚪</t>
        </is>
      </c>
      <c r="Q73" s="58" t="inlineStr">
        <is>
          <t>Aug 8 Beginning: 4 bot + Aug 24 Delivery: 6 bot = 10.0 Total. 8.5 bottles consumed for Fruit Sodas! 1.5 bottles left.</t>
        </is>
      </c>
    </row>
    <row r="74" ht="22" customHeight="1">
      <c r="A74" s="30" t="inlineStr">
        <is>
          <t>BEV-005</t>
        </is>
      </c>
      <c r="B74" s="31" t="inlineStr">
        <is>
          <t>Nature Spring Mineral Water 500ml</t>
        </is>
      </c>
      <c r="C74" s="32" t="inlineStr">
        <is>
          <t>bottles</t>
        </is>
      </c>
      <c r="D74" s="33" t="n">
        <v>12</v>
      </c>
      <c r="E74" s="34" t="n">
        <v>0</v>
      </c>
      <c r="F74" s="34" t="n">
        <v>35</v>
      </c>
      <c r="G74" s="35">
        <f>E74+F74</f>
        <v/>
      </c>
      <c r="H74" s="36" t="n">
        <v>0</v>
      </c>
      <c r="I74" s="37" t="inlineStr">
        <is>
          <t>empty</t>
        </is>
      </c>
      <c r="J74" s="34" t="n">
        <v>0</v>
      </c>
      <c r="K74" s="38">
        <f>H74-J74</f>
        <v/>
      </c>
      <c r="L74" s="39">
        <f>G74-H74</f>
        <v/>
      </c>
      <c r="M74" s="40">
        <f>H74*D74</f>
        <v/>
      </c>
      <c r="N74" s="41">
        <f>K74*D74</f>
        <v/>
      </c>
      <c r="O74" s="73" t="inlineStr">
        <is>
          <t>🚨 OUT OF STOCK</t>
        </is>
      </c>
      <c r="P74" s="43" t="inlineStr">
        <is>
          <t>🔴</t>
        </is>
      </c>
      <c r="Q74" s="44" t="inlineStr">
        <is>
          <t>Aug 24 Delivery: 35 bottles. 🚨 CRITICAL OUT OF STOCK: All sold (POS logged 54 sales). Urgent reorder needed!</t>
        </is>
      </c>
    </row>
    <row r="75" ht="22" customHeight="1">
      <c r="A75" s="45" t="inlineStr">
        <is>
          <t>BEV-006</t>
        </is>
      </c>
      <c r="B75" s="46" t="inlineStr">
        <is>
          <t>Nature Spring Mineral Water 1L</t>
        </is>
      </c>
      <c r="C75" s="47" t="inlineStr">
        <is>
          <t>bottles</t>
        </is>
      </c>
      <c r="D75" s="48" t="n">
        <v>18</v>
      </c>
      <c r="E75" s="49" t="n">
        <v>0</v>
      </c>
      <c r="F75" s="49" t="n">
        <v>20</v>
      </c>
      <c r="G75" s="50">
        <f>E75+F75</f>
        <v/>
      </c>
      <c r="H75" s="51" t="n">
        <v>15</v>
      </c>
      <c r="I75" s="52" t="inlineStr">
        <is>
          <t>15pcs</t>
        </is>
      </c>
      <c r="J75" s="49" t="n">
        <v>15</v>
      </c>
      <c r="K75" s="53">
        <f>H75-J75</f>
        <v/>
      </c>
      <c r="L75" s="54">
        <f>G75-H75</f>
        <v/>
      </c>
      <c r="M75" s="55">
        <f>H75*D75</f>
        <v/>
      </c>
      <c r="N75" s="56">
        <f>K75*D75</f>
        <v/>
      </c>
      <c r="O75" s="70" t="inlineStr">
        <is>
          <t>✅ MATCH</t>
        </is>
      </c>
      <c r="P75" s="57" t="inlineStr">
        <is>
          <t>🟢</t>
        </is>
      </c>
      <c r="Q75" s="58" t="inlineStr">
        <is>
          <t>Initial delivery: 20 bottles. 5 customer sales in POS. 20 - 5 = EXACTLY 15 BOTTLES! Zero shrinkage.</t>
        </is>
      </c>
    </row>
    <row r="76" ht="22" customHeight="1">
      <c r="A76" s="30" t="inlineStr">
        <is>
          <t>BEV-007</t>
        </is>
      </c>
      <c r="B76" s="31" t="inlineStr">
        <is>
          <t>Red Horse Stallion Beer 330ml</t>
        </is>
      </c>
      <c r="C76" s="32" t="inlineStr">
        <is>
          <t>bottles</t>
        </is>
      </c>
      <c r="D76" s="33" t="n">
        <v>55</v>
      </c>
      <c r="E76" s="34" t="n">
        <v>0</v>
      </c>
      <c r="F76" s="34" t="n">
        <v>48</v>
      </c>
      <c r="G76" s="35">
        <f>E76+F76</f>
        <v/>
      </c>
      <c r="H76" s="36" t="n">
        <v>39</v>
      </c>
      <c r="I76" s="37" t="inlineStr">
        <is>
          <t>39bottle</t>
        </is>
      </c>
      <c r="J76" s="34" t="n">
        <v>15</v>
      </c>
      <c r="K76" s="38">
        <f>H76-J76</f>
        <v/>
      </c>
      <c r="L76" s="39">
        <f>G76-H76</f>
        <v/>
      </c>
      <c r="M76" s="40">
        <f>H76*D76</f>
        <v/>
      </c>
      <c r="N76" s="41">
        <f>K76*D76</f>
        <v/>
      </c>
      <c r="O76" s="42" t="inlineStr">
        <is>
          <t>🔺 SURPLUS / RESTOCK</t>
        </is>
      </c>
      <c r="P76" s="43" t="inlineStr">
        <is>
          <t>🔵</t>
        </is>
      </c>
      <c r="Q76" s="44" t="inlineStr">
        <is>
          <t>Aug 24 Delivery: 48 bottles (2 cases). 9 sold. 39 bottles on hand in chiller. Ample stock.</t>
        </is>
      </c>
    </row>
    <row r="77" ht="22" customHeight="1">
      <c r="A77" s="45" t="inlineStr">
        <is>
          <t>BEV-008</t>
        </is>
      </c>
      <c r="B77" s="46" t="inlineStr">
        <is>
          <t>San Miguel Pale Pilsen 320ml</t>
        </is>
      </c>
      <c r="C77" s="47" t="inlineStr">
        <is>
          <t>bottles</t>
        </is>
      </c>
      <c r="D77" s="48" t="n">
        <v>52</v>
      </c>
      <c r="E77" s="49" t="n">
        <v>0</v>
      </c>
      <c r="F77" s="49" t="n">
        <v>48</v>
      </c>
      <c r="G77" s="50">
        <f>E77+F77</f>
        <v/>
      </c>
      <c r="H77" s="51" t="n">
        <v>50</v>
      </c>
      <c r="I77" s="52" t="inlineStr">
        <is>
          <t>50bottle</t>
        </is>
      </c>
      <c r="J77" s="49" t="n">
        <v>12</v>
      </c>
      <c r="K77" s="53">
        <f>H77-J77</f>
        <v/>
      </c>
      <c r="L77" s="54">
        <f>G77-H77</f>
        <v/>
      </c>
      <c r="M77" s="55">
        <f>H77*D77</f>
        <v/>
      </c>
      <c r="N77" s="56">
        <f>K77*D77</f>
        <v/>
      </c>
      <c r="O77" s="42" t="inlineStr">
        <is>
          <t>🔺 SURPLUS / RESTOCK</t>
        </is>
      </c>
      <c r="P77" s="57" t="inlineStr">
        <is>
          <t>🔵</t>
        </is>
      </c>
      <c r="Q77" s="58" t="inlineStr">
        <is>
          <t>Aug 24 Delivery: 48 bottles (2 cases) + buffer. 50 bottles on hand. Ample stock.</t>
        </is>
      </c>
    </row>
    <row r="78" ht="22" customHeight="1">
      <c r="A78" s="30" t="inlineStr">
        <is>
          <t>BEV-009</t>
        </is>
      </c>
      <c r="B78" s="31" t="inlineStr">
        <is>
          <t>San Mig Light - Apple 330ml</t>
        </is>
      </c>
      <c r="C78" s="32" t="inlineStr">
        <is>
          <t>bottles</t>
        </is>
      </c>
      <c r="D78" s="33" t="n">
        <v>48</v>
      </c>
      <c r="E78" s="34" t="n">
        <v>0</v>
      </c>
      <c r="F78" s="34" t="n">
        <v>24</v>
      </c>
      <c r="G78" s="35">
        <f>E78+F78</f>
        <v/>
      </c>
      <c r="H78" s="36" t="n">
        <v>22</v>
      </c>
      <c r="I78" s="37" t="inlineStr">
        <is>
          <t>22bottle</t>
        </is>
      </c>
      <c r="J78" s="34" t="n">
        <v>12</v>
      </c>
      <c r="K78" s="38">
        <f>H78-J78</f>
        <v/>
      </c>
      <c r="L78" s="39">
        <f>G78-H78</f>
        <v/>
      </c>
      <c r="M78" s="40">
        <f>H78*D78</f>
        <v/>
      </c>
      <c r="N78" s="41">
        <f>K78*D78</f>
        <v/>
      </c>
      <c r="O78" s="42" t="inlineStr">
        <is>
          <t>🔺 SURPLUS / RESTOCK</t>
        </is>
      </c>
      <c r="P78" s="43" t="inlineStr">
        <is>
          <t>🔵</t>
        </is>
      </c>
      <c r="Q78" s="44" t="inlineStr">
        <is>
          <t>Aug 24 Delivery: 24 bottles (1 case). 2 sold. 22 bottles in chiller. Healthy stock.</t>
        </is>
      </c>
    </row>
    <row r="79" ht="22" customHeight="1">
      <c r="A79" s="45" t="inlineStr">
        <is>
          <t>BEV-010</t>
        </is>
      </c>
      <c r="B79" s="46" t="inlineStr">
        <is>
          <t>Evian Natural Spring Water 500ml</t>
        </is>
      </c>
      <c r="C79" s="47" t="inlineStr">
        <is>
          <t>bottles</t>
        </is>
      </c>
      <c r="D79" s="48" t="n">
        <v>95</v>
      </c>
      <c r="E79" s="49" t="n">
        <v>0</v>
      </c>
      <c r="F79" s="49" t="n">
        <v>6</v>
      </c>
      <c r="G79" s="50">
        <f>E79+F79</f>
        <v/>
      </c>
      <c r="H79" s="51" t="n">
        <v>6</v>
      </c>
      <c r="I79" s="52" t="inlineStr">
        <is>
          <t>6pcs</t>
        </is>
      </c>
      <c r="J79" s="49" t="n">
        <v>12</v>
      </c>
      <c r="K79" s="53">
        <f>H79-J79</f>
        <v/>
      </c>
      <c r="L79" s="54">
        <f>G79-H79</f>
        <v/>
      </c>
      <c r="M79" s="55">
        <f>H79*D79</f>
        <v/>
      </c>
      <c r="N79" s="56">
        <f>K79*D79</f>
        <v/>
      </c>
      <c r="O79" s="75" t="inlineStr">
        <is>
          <t>⚠️ LOW STOCK</t>
        </is>
      </c>
      <c r="P79" s="57" t="inlineStr">
        <is>
          <t>🟡</t>
        </is>
      </c>
      <c r="Q79" s="58" t="inlineStr">
        <is>
          <t>Aug 24 Delivery: 6 bottles. 6 bottles remaining in chiller. Monitor chiller level.</t>
        </is>
      </c>
    </row>
    <row r="80" ht="22" customHeight="1">
      <c r="A80" s="30" t="inlineStr">
        <is>
          <t>BEV-011</t>
        </is>
      </c>
      <c r="B80" s="31" t="inlineStr">
        <is>
          <t>Perrier Sparkling Mineral Water 330ml</t>
        </is>
      </c>
      <c r="C80" s="32" t="inlineStr">
        <is>
          <t>bottles</t>
        </is>
      </c>
      <c r="D80" s="33" t="n">
        <v>110</v>
      </c>
      <c r="E80" s="34" t="n">
        <v>0</v>
      </c>
      <c r="F80" s="34" t="n">
        <v>4</v>
      </c>
      <c r="G80" s="35">
        <f>E80+F80</f>
        <v/>
      </c>
      <c r="H80" s="36" t="n">
        <v>4</v>
      </c>
      <c r="I80" s="37" t="inlineStr">
        <is>
          <t>4 bottle</t>
        </is>
      </c>
      <c r="J80" s="34" t="n">
        <v>12</v>
      </c>
      <c r="K80" s="38">
        <f>H80-J80</f>
        <v/>
      </c>
      <c r="L80" s="39">
        <f>G80-H80</f>
        <v/>
      </c>
      <c r="M80" s="40">
        <f>H80*D80</f>
        <v/>
      </c>
      <c r="N80" s="41">
        <f>K80*D80</f>
        <v/>
      </c>
      <c r="O80" s="75" t="inlineStr">
        <is>
          <t>⚠️ LOW STOCK</t>
        </is>
      </c>
      <c r="P80" s="43" t="inlineStr">
        <is>
          <t>🟡</t>
        </is>
      </c>
      <c r="Q80" s="44" t="inlineStr">
        <is>
          <t>Aug 24 Delivery: 4 bottles. ⚠️ LOW STOCK: 4 bottles remaining. Reorder 1 pack.</t>
        </is>
      </c>
    </row>
    <row r="81" ht="22" customHeight="1">
      <c r="A81" s="59" t="inlineStr">
        <is>
          <t>Subtotal — 9. RETAIL DRINKS, WATER &amp; BEERS:</t>
        </is>
      </c>
      <c r="B81" s="60" t="n"/>
      <c r="C81" s="60" t="n"/>
      <c r="D81" s="60" t="n"/>
      <c r="E81" s="61">
        <f>SUMPRODUCT(D70:D80, E70:E80)</f>
        <v/>
      </c>
      <c r="F81" s="61">
        <f>SUMPRODUCT(D70:D80, F70:F80)</f>
        <v/>
      </c>
      <c r="G81" s="61">
        <f>E81+F81</f>
        <v/>
      </c>
      <c r="H81" s="62">
        <f>SUM(H70:H80)</f>
        <v/>
      </c>
      <c r="I81" s="60" t="n"/>
      <c r="J81" s="62">
        <f>SUM(J70:J80)</f>
        <v/>
      </c>
      <c r="K81" s="63">
        <f>SUM(K70:K80)</f>
        <v/>
      </c>
      <c r="L81" s="61">
        <f>SUMPRODUCT(D70:D80, L70:L80)</f>
        <v/>
      </c>
      <c r="M81" s="64">
        <f>SUM(M70:M80)</f>
        <v/>
      </c>
      <c r="N81" s="65">
        <f>SUM(N70:N80)</f>
        <v/>
      </c>
      <c r="O81" s="60" t="n"/>
      <c r="P81" s="60" t="n"/>
      <c r="Q81" s="60" t="n"/>
    </row>
    <row r="82" ht="28" customHeight="1">
      <c r="A82" s="82" t="inlineStr">
        <is>
          <t>🏆 GRAND TOTAL (ALL 59 AUDITED ITEMS):</t>
        </is>
      </c>
      <c r="B82" s="83" t="n"/>
      <c r="C82" s="83" t="n"/>
      <c r="D82" s="83" t="n"/>
      <c r="E82" s="84">
        <f>SUM('📊 Executive Summary'!C10:C18)</f>
        <v/>
      </c>
      <c r="F82" s="84">
        <f>SUM('📊 Executive Summary'!D10:D18)</f>
        <v/>
      </c>
      <c r="G82" s="84">
        <f>SUM('📊 Executive Summary'!E10:E18)</f>
        <v/>
      </c>
      <c r="H82" s="83" t="n"/>
      <c r="I82" s="83" t="n"/>
      <c r="J82" s="83" t="n"/>
      <c r="K82" s="83" t="n"/>
      <c r="L82" s="83" t="n"/>
      <c r="M82" s="85">
        <f>SUM('📊 Executive Summary'!F10:F18)</f>
        <v/>
      </c>
      <c r="N82" s="83" t="n"/>
      <c r="O82" s="83" t="n"/>
      <c r="P82" s="83" t="n"/>
      <c r="Q82" s="83" t="n"/>
    </row>
  </sheetData>
  <mergeCells count="21">
    <mergeCell ref="A53:D53"/>
    <mergeCell ref="A81:D81"/>
    <mergeCell ref="A45:Q45"/>
    <mergeCell ref="A68:D68"/>
    <mergeCell ref="A1:Q1"/>
    <mergeCell ref="A44:D44"/>
    <mergeCell ref="A13:D13"/>
    <mergeCell ref="A9:D9"/>
    <mergeCell ref="A69:Q69"/>
    <mergeCell ref="A54:Q54"/>
    <mergeCell ref="A82:D82"/>
    <mergeCell ref="A37:Q37"/>
    <mergeCell ref="A36:D36"/>
    <mergeCell ref="A61:D61"/>
    <mergeCell ref="A2:Q2"/>
    <mergeCell ref="A5:Q5"/>
    <mergeCell ref="A14:Q14"/>
    <mergeCell ref="A27:D27"/>
    <mergeCell ref="A62:Q62"/>
    <mergeCell ref="A10:Q10"/>
    <mergeCell ref="A28:Q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6" customWidth="1" min="2" max="2"/>
    <col width="16" customWidth="1" min="3" max="3"/>
    <col width="16" customWidth="1" min="4" max="4"/>
    <col width="20" customWidth="1" min="5" max="5"/>
    <col width="16" customWidth="1" min="6" max="6"/>
    <col width="20" customWidth="1" min="7" max="7"/>
  </cols>
  <sheetData>
    <row r="1" ht="36" customHeight="1">
      <c r="A1" s="86" t="inlineStr">
        <is>
          <t>ESPRESSO YOURSELF &amp; TEA HOUSE — PRIORITY RESTOCKING &amp; PURCHASING LIST</t>
        </is>
      </c>
    </row>
    <row r="2" ht="22" customHeight="1">
      <c r="A2" s="2" t="inlineStr">
        <is>
          <t>Items Requiring Immediate Purchasing or Supplier Delivery based on Physical Inventory Audit</t>
        </is>
      </c>
    </row>
    <row r="4" ht="26" customHeight="1">
      <c r="A4" s="87" t="inlineStr">
        <is>
          <t>Priority</t>
        </is>
      </c>
      <c r="B4" s="88" t="inlineStr">
        <is>
          <t>Item Description &amp; SKU</t>
        </is>
      </c>
      <c r="C4" s="87" t="inlineStr">
        <is>
          <t>Current Count</t>
        </is>
      </c>
      <c r="D4" s="87" t="inlineStr">
        <is>
          <t>Target Par Level</t>
        </is>
      </c>
      <c r="E4" s="87" t="inlineStr">
        <is>
          <t>Suggested Order Qty</t>
        </is>
      </c>
      <c r="F4" s="89" t="inlineStr">
        <is>
          <t>Est. Unit Cost</t>
        </is>
      </c>
      <c r="G4" s="89" t="inlineStr">
        <is>
          <t>Est. Reorder Cost (₱)</t>
        </is>
      </c>
    </row>
    <row r="5" ht="24" customHeight="1">
      <c r="A5" s="73" t="inlineStr">
        <is>
          <t>🚨 CRITICAL</t>
        </is>
      </c>
      <c r="B5" s="90" t="inlineStr">
        <is>
          <t>Nature Spring Mineral Water 500ml</t>
        </is>
      </c>
      <c r="C5" s="91" t="inlineStr">
        <is>
          <t>0 (EMPTY)</t>
        </is>
      </c>
      <c r="D5" s="91" t="inlineStr">
        <is>
          <t>50 bottles</t>
        </is>
      </c>
      <c r="E5" s="92" t="inlineStr">
        <is>
          <t>2 Cases (48 bottles)</t>
        </is>
      </c>
      <c r="F5" s="93" t="n">
        <v>12</v>
      </c>
      <c r="G5" s="18" t="n">
        <v>576</v>
      </c>
    </row>
    <row r="6" ht="24" customHeight="1">
      <c r="A6" s="73" t="inlineStr">
        <is>
          <t>🚨 CRITICAL</t>
        </is>
      </c>
      <c r="B6" s="90" t="inlineStr">
        <is>
          <t>Pringles Sour Cream &amp; Onion 158g</t>
        </is>
      </c>
      <c r="C6" s="91" t="inlineStr">
        <is>
          <t>0 (EMPTY)</t>
        </is>
      </c>
      <c r="D6" s="91" t="inlineStr">
        <is>
          <t>10 cans</t>
        </is>
      </c>
      <c r="E6" s="92" t="inlineStr">
        <is>
          <t>1 Case (12 cans)</t>
        </is>
      </c>
      <c r="F6" s="93" t="n">
        <v>98</v>
      </c>
      <c r="G6" s="18" t="n">
        <v>1176</v>
      </c>
    </row>
    <row r="7" ht="24" customHeight="1">
      <c r="A7" s="73" t="inlineStr">
        <is>
          <t>🚨 CRITICAL</t>
        </is>
      </c>
      <c r="B7" s="90" t="inlineStr">
        <is>
          <t>SHOTT Pink Guava Syrup 1L</t>
        </is>
      </c>
      <c r="C7" s="91" t="inlineStr">
        <is>
          <t>0 (EMPTY)</t>
        </is>
      </c>
      <c r="D7" s="91" t="inlineStr">
        <is>
          <t>2 bottles</t>
        </is>
      </c>
      <c r="E7" s="92" t="inlineStr">
        <is>
          <t>2 Bottles (1L)</t>
        </is>
      </c>
      <c r="F7" s="93" t="n">
        <v>890</v>
      </c>
      <c r="G7" s="18" t="n">
        <v>1780</v>
      </c>
    </row>
    <row r="8" ht="24" customHeight="1">
      <c r="A8" s="75" t="inlineStr">
        <is>
          <t>⚠️ HIGH</t>
        </is>
      </c>
      <c r="B8" s="90" t="inlineStr">
        <is>
          <t>Pringles Cheddar Cheese 158g</t>
        </is>
      </c>
      <c r="C8" s="91" t="inlineStr">
        <is>
          <t>3 cans</t>
        </is>
      </c>
      <c r="D8" s="91" t="inlineStr">
        <is>
          <t>10 cans</t>
        </is>
      </c>
      <c r="E8" s="92" t="inlineStr">
        <is>
          <t>1 Case (12 cans)</t>
        </is>
      </c>
      <c r="F8" s="93" t="n">
        <v>98</v>
      </c>
      <c r="G8" s="18" t="n">
        <v>1176</v>
      </c>
    </row>
    <row r="9" ht="24" customHeight="1">
      <c r="A9" s="75" t="inlineStr">
        <is>
          <t>⚠️ HIGH</t>
        </is>
      </c>
      <c r="B9" s="90" t="inlineStr">
        <is>
          <t>Pringles Original 158g</t>
        </is>
      </c>
      <c r="C9" s="91" t="inlineStr">
        <is>
          <t>3 cans</t>
        </is>
      </c>
      <c r="D9" s="91" t="inlineStr">
        <is>
          <t>10 cans</t>
        </is>
      </c>
      <c r="E9" s="92" t="inlineStr">
        <is>
          <t>1 Case (12 cans)</t>
        </is>
      </c>
      <c r="F9" s="93" t="n">
        <v>98</v>
      </c>
      <c r="G9" s="18" t="n">
        <v>1176</v>
      </c>
    </row>
    <row r="10" ht="24" customHeight="1">
      <c r="A10" s="75" t="inlineStr">
        <is>
          <t>⚠️ HIGH</t>
        </is>
      </c>
      <c r="B10" s="90" t="inlineStr">
        <is>
          <t>Cheetos Cheddar Jalapeño 226.8g</t>
        </is>
      </c>
      <c r="C10" s="91" t="inlineStr">
        <is>
          <t>3 packs</t>
        </is>
      </c>
      <c r="D10" s="91" t="inlineStr">
        <is>
          <t>8 packs</t>
        </is>
      </c>
      <c r="E10" s="92" t="inlineStr">
        <is>
          <t>1 Box (8 packs)</t>
        </is>
      </c>
      <c r="F10" s="93" t="n">
        <v>98</v>
      </c>
      <c r="G10" s="18" t="n">
        <v>784</v>
      </c>
    </row>
    <row r="11" ht="24" customHeight="1">
      <c r="A11" s="75" t="inlineStr">
        <is>
          <t>⚠️ HIGH</t>
        </is>
      </c>
      <c r="B11" s="90" t="inlineStr">
        <is>
          <t>SHOTT Mango Syrup 1L</t>
        </is>
      </c>
      <c r="C11" s="91" t="inlineStr">
        <is>
          <t>210ml</t>
        </is>
      </c>
      <c r="D11" s="91" t="inlineStr">
        <is>
          <t>1 bottle</t>
        </is>
      </c>
      <c r="E11" s="92" t="inlineStr">
        <is>
          <t>1 Bottle (1L)</t>
        </is>
      </c>
      <c r="F11" s="93" t="n">
        <v>890</v>
      </c>
      <c r="G11" s="18" t="n">
        <v>890</v>
      </c>
    </row>
    <row r="12" ht="24" customHeight="1">
      <c r="A12" s="75" t="inlineStr">
        <is>
          <t>⚠️ HIGH</t>
        </is>
      </c>
      <c r="B12" s="90" t="inlineStr">
        <is>
          <t>SHOTT Pomegranate Syrup 1L</t>
        </is>
      </c>
      <c r="C12" s="91" t="inlineStr">
        <is>
          <t>250ml</t>
        </is>
      </c>
      <c r="D12" s="91" t="inlineStr">
        <is>
          <t>1 bottle</t>
        </is>
      </c>
      <c r="E12" s="92" t="inlineStr">
        <is>
          <t>1 Bottle (1L)</t>
        </is>
      </c>
      <c r="F12" s="93" t="n">
        <v>890</v>
      </c>
      <c r="G12" s="18" t="n">
        <v>890</v>
      </c>
    </row>
    <row r="13" ht="24" customHeight="1">
      <c r="A13" s="42" t="inlineStr">
        <is>
          <t>🟡 MEDIUM</t>
        </is>
      </c>
      <c r="B13" s="90" t="inlineStr">
        <is>
          <t>Perrier Sparkling Mineral Water 330ml</t>
        </is>
      </c>
      <c r="C13" s="91" t="inlineStr">
        <is>
          <t>4 bottles</t>
        </is>
      </c>
      <c r="D13" s="91" t="inlineStr">
        <is>
          <t>12 bottles</t>
        </is>
      </c>
      <c r="E13" s="92" t="inlineStr">
        <is>
          <t>1 Pack (12 bottles)</t>
        </is>
      </c>
      <c r="F13" s="93" t="n">
        <v>110</v>
      </c>
      <c r="G13" s="18" t="n">
        <v>1320</v>
      </c>
    </row>
    <row r="14" ht="24" customHeight="1">
      <c r="A14" s="42" t="inlineStr">
        <is>
          <t>🟡 MEDIUM</t>
        </is>
      </c>
      <c r="B14" s="90" t="inlineStr">
        <is>
          <t>Sugar Syrup (Hi-Fructose 500ml)</t>
        </is>
      </c>
      <c r="C14" s="91" t="inlineStr">
        <is>
          <t>3 bottles</t>
        </is>
      </c>
      <c r="D14" s="91" t="inlineStr">
        <is>
          <t>10 bottles</t>
        </is>
      </c>
      <c r="E14" s="92" t="inlineStr">
        <is>
          <t>1 Box (6 bottles)</t>
        </is>
      </c>
      <c r="F14" s="93" t="n">
        <v>94</v>
      </c>
      <c r="G14" s="18" t="n">
        <v>564</v>
      </c>
    </row>
    <row r="15" ht="24" customHeight="1">
      <c r="A15" s="42" t="inlineStr">
        <is>
          <t>🟡 MEDIUM</t>
        </is>
      </c>
      <c r="B15" s="90" t="inlineStr">
        <is>
          <t>Evian Natural Spring Water 500ml</t>
        </is>
      </c>
      <c r="C15" s="91" t="inlineStr">
        <is>
          <t>6 bottles</t>
        </is>
      </c>
      <c r="D15" s="91" t="inlineStr">
        <is>
          <t>12 bottles</t>
        </is>
      </c>
      <c r="E15" s="92" t="inlineStr">
        <is>
          <t>1 Pack (6 bottles)</t>
        </is>
      </c>
      <c r="F15" s="93" t="n">
        <v>95</v>
      </c>
      <c r="G15" s="18" t="n">
        <v>570</v>
      </c>
    </row>
    <row r="16" ht="26" customHeight="1">
      <c r="A16" s="94" t="inlineStr">
        <is>
          <t>ESTIMATED TOTAL URGENT PROCUREMENT BUDGET:</t>
        </is>
      </c>
      <c r="B16" s="95" t="n"/>
      <c r="C16" s="95" t="n"/>
      <c r="D16" s="95" t="n"/>
      <c r="E16" s="95" t="n"/>
      <c r="F16" s="95" t="n"/>
      <c r="G16" s="96">
        <f>SUM(G5:G15)</f>
        <v/>
      </c>
    </row>
  </sheetData>
  <mergeCells count="3">
    <mergeCell ref="A16:F16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2026-09-22T01:57:45Z</dcterms:created>
  <dcterms:modified xsi:type="dcterms:W3CDTF">2026-09-22T01:57:45Z</dcterms:modified>
</cp:coreProperties>
</file>