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tailed Product Sales" sheetId="1" r:id="rId1"/>
    <sheet name="Daily Summary &amp; Reconciliation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8"/>
  <sheetViews>
    <sheetView workbookViewId="0"/>
  </sheetViews>
  <cols>
    <col min="1" max="1" width="12.83203125" customWidth="1"/>
    <col min="2" max="2" width="10.83203125" customWidth="1"/>
    <col min="3" max="3" width="15.83203125" customWidth="1"/>
    <col min="4" max="4" width="25.83203125" customWidth="1"/>
    <col min="5" max="5" width="10.83203125" customWidth="1"/>
    <col min="6" max="6" width="10.83203125" customWidth="1"/>
    <col min="7" max="7" width="10.83203125" customWidth="1"/>
    <col min="8" max="8" width="10.83203125" customWidth="1"/>
    <col min="9" max="9" width="12.83203125" customWidth="1"/>
    <col min="10" max="10" width="15.83203125" customWidth="1"/>
  </cols>
  <sheetData>
    <row r="1">
      <c r="A1" t="str">
        <v>ESPRESSO YOURSELF &amp; TEA HOUSE - DETAILED DAILY PRODUCT SALES LOG</v>
      </c>
    </row>
    <row r="2">
      <c r="A2" t="str">
        <v>Input each item sold below. Total Sales is automatically calculated.</v>
      </c>
    </row>
    <row r="4">
      <c r="A4" t="str">
        <v>Date</v>
      </c>
      <c r="B4" t="str">
        <v>Order ID</v>
      </c>
      <c r="C4" t="str">
        <v>Category</v>
      </c>
      <c r="D4" t="str">
        <v>Product Name</v>
      </c>
      <c r="E4" t="str">
        <v>Hot/Cold</v>
      </c>
      <c r="F4" t="str">
        <v>Cup Size</v>
      </c>
      <c r="G4" t="str">
        <v>Quantity</v>
      </c>
      <c r="H4" t="str">
        <v>Price</v>
      </c>
      <c r="I4" t="str">
        <v>Total Sales</v>
      </c>
      <c r="J4" t="str">
        <v>Payment Method</v>
      </c>
    </row>
    <row r="5">
      <c r="A5" t="str">
        <v>2026-08-18</v>
      </c>
      <c r="B5" t="str">
        <v>1001</v>
      </c>
      <c r="C5" t="str">
        <v>Espresso / Milk</v>
      </c>
      <c r="D5" t="str">
        <v>Iced Latte</v>
      </c>
      <c r="E5" t="str">
        <v>Iced</v>
      </c>
      <c r="F5" t="str">
        <v>16 oz</v>
      </c>
      <c r="G5">
        <v>2</v>
      </c>
      <c r="H5">
        <v>120</v>
      </c>
      <c r="I5">
        <f>G5*H5</f>
      </c>
      <c r="J5" t="str">
        <v>GCash</v>
      </c>
    </row>
    <row r="6">
      <c r="A6" t="str">
        <v>2026-08-18</v>
      </c>
      <c r="B6" t="str">
        <v>1001</v>
      </c>
      <c r="C6" t="str">
        <v>Pastries</v>
      </c>
      <c r="D6" t="str">
        <v>Ensaymada</v>
      </c>
      <c r="E6" t="str">
        <v>N/A</v>
      </c>
      <c r="F6" t="str">
        <v>N/A</v>
      </c>
      <c r="G6">
        <v>1</v>
      </c>
      <c r="H6">
        <v>59</v>
      </c>
      <c r="I6">
        <f>G6*H6</f>
      </c>
      <c r="J6" t="str">
        <v>GCash</v>
      </c>
    </row>
    <row r="7">
      <c r="A7" t="str">
        <v>2026-08-18</v>
      </c>
      <c r="B7" t="str">
        <v>1002</v>
      </c>
      <c r="C7" t="str">
        <v>Beverages</v>
      </c>
      <c r="D7" t="str">
        <v>Pocari Sweat</v>
      </c>
      <c r="E7" t="str">
        <v>Cold</v>
      </c>
      <c r="F7" t="str">
        <v>500ml</v>
      </c>
      <c r="G7">
        <v>1</v>
      </c>
      <c r="H7">
        <v>50</v>
      </c>
      <c r="I7">
        <f>G7*H7</f>
      </c>
      <c r="J7" t="str">
        <v>Cash</v>
      </c>
    </row>
    <row r="8">
      <c r="A8" t="str">
        <v>2026-08-18</v>
      </c>
      <c r="B8" t="str">
        <v>1003</v>
      </c>
      <c r="C8" t="str">
        <v>Laundry Add-on</v>
      </c>
      <c r="D8" t="str">
        <v>Ariel Liquid w/ Downy</v>
      </c>
      <c r="E8" t="str">
        <v>N/A</v>
      </c>
      <c r="F8" t="str">
        <v>N/A</v>
      </c>
      <c r="G8">
        <v>3</v>
      </c>
      <c r="H8">
        <v>9</v>
      </c>
      <c r="I8">
        <f>G8*H8</f>
      </c>
      <c r="J8" t="str">
        <v>Cash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I9">
        <f>G9*H9</f>
      </c>
      <c r="J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I10">
        <f>G10*H10</f>
      </c>
      <c r="J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I11">
        <f>G11*H11</f>
      </c>
      <c r="J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I12">
        <f>G12*H12</f>
      </c>
      <c r="J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I13">
        <f>G13*H13</f>
      </c>
      <c r="J13" t="str">
        <v/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I14">
        <f>G14*H14</f>
      </c>
      <c r="J14" t="str">
        <v/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I15">
        <f>G15*H15</f>
      </c>
      <c r="J15" t="str">
        <v/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I16">
        <f>G16*H16</f>
      </c>
      <c r="J16" t="str">
        <v/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I17">
        <f>G17*H17</f>
      </c>
      <c r="J17" t="str">
        <v/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I18">
        <f>G18*H18</f>
      </c>
      <c r="J18" t="str">
        <v/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I19">
        <f>G19*H19</f>
      </c>
      <c r="J19" t="str">
        <v/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I20">
        <f>G20*H20</f>
      </c>
      <c r="J20" t="str">
        <v/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I21">
        <f>G21*H21</f>
      </c>
      <c r="J21" t="str">
        <v/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I22">
        <f>G22*H22</f>
      </c>
      <c r="J22" t="str">
        <v/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I23">
        <f>G23*H23</f>
      </c>
      <c r="J23" t="str">
        <v/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I24">
        <f>G24*H24</f>
      </c>
      <c r="J24" t="str">
        <v/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I25">
        <f>G25*H25</f>
      </c>
      <c r="J25" t="str">
        <v/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I26">
        <f>G26*H26</f>
      </c>
      <c r="J26" t="str">
        <v/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I27">
        <f>G27*H27</f>
      </c>
      <c r="J27" t="str">
        <v/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I28">
        <f>G28*H28</f>
      </c>
      <c r="J28" t="str">
        <v/>
      </c>
    </row>
  </sheetData>
  <ignoredErrors>
    <ignoredError numberStoredAsText="1" sqref="A1:J2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M20"/>
  <sheetViews>
    <sheetView workbookViewId="0"/>
  </sheetViews>
  <cols>
    <col min="1" max="1" width="12.83203125" customWidth="1"/>
    <col min="2" max="2" width="10.83203125" customWidth="1"/>
    <col min="3" max="3" width="12.83203125" customWidth="1"/>
    <col min="4" max="4" width="15.83203125" customWidth="1"/>
    <col min="5" max="5" width="12.83203125" customWidth="1"/>
    <col min="6" max="6" width="15.83203125" customWidth="1"/>
    <col min="7" max="7" width="15.83203125" customWidth="1"/>
    <col min="8" max="8" width="15.83203125" customWidth="1"/>
    <col min="9" max="9" width="15.83203125" customWidth="1"/>
    <col min="10" max="10" width="12.83203125" customWidth="1"/>
    <col min="11" max="11" width="18.83203125" customWidth="1"/>
    <col min="12" max="12" width="15.83203125" customWidth="1"/>
    <col min="13" max="13" width="25.83203125" customWidth="1"/>
  </cols>
  <sheetData>
    <row r="1">
      <c r="A1" t="str">
        <v>SIP &amp; SPIN LAUNDRY &amp; CAFE - DAILY SALES &amp; RECONCILIATION SUMMARY</v>
      </c>
    </row>
    <row r="2">
      <c r="A2" t="str">
        <v>Summarize each day's totals. Total Sales, Total Payments, and Variance are calculated automatically.</v>
      </c>
    </row>
    <row r="4">
      <c r="A4" t="str">
        <v>Date</v>
      </c>
      <c r="B4" t="str">
        <v>Day</v>
      </c>
      <c r="C4" t="str">
        <v>Cafe Sales</v>
      </c>
      <c r="D4" t="str">
        <v>Laundry Sales</v>
      </c>
      <c r="E4" t="str">
        <v>Total Sales</v>
      </c>
      <c r="F4" t="str">
        <v>Cash Received</v>
      </c>
      <c r="G4" t="str">
        <v>GCash Received</v>
      </c>
      <c r="H4" t="str">
        <v>Bank Received</v>
      </c>
      <c r="I4" t="str">
        <v>Total Payments</v>
      </c>
      <c r="J4" t="str">
        <v>Variance</v>
      </c>
      <c r="K4" t="str">
        <v>Amount Deposited</v>
      </c>
      <c r="L4" t="str">
        <v>Deposit Status</v>
      </c>
      <c r="M4" t="str">
        <v>Remarks</v>
      </c>
    </row>
    <row r="5">
      <c r="A5" t="str">
        <v>2026-08-18</v>
      </c>
      <c r="B5" t="str">
        <v>Tuesday</v>
      </c>
      <c r="C5">
        <v>299</v>
      </c>
      <c r="D5">
        <v>150</v>
      </c>
      <c r="E5">
        <f>C5+D5</f>
      </c>
      <c r="F5">
        <v>150</v>
      </c>
      <c r="G5">
        <v>299</v>
      </c>
      <c r="H5">
        <v>0</v>
      </c>
      <c r="I5">
        <f>F5+G5+H5</f>
      </c>
      <c r="J5">
        <f>I5-E5</f>
      </c>
      <c r="K5">
        <v>150</v>
      </c>
      <c r="L5" t="str">
        <v>Pending</v>
      </c>
      <c r="M5" t="str">
        <v>First shift test</v>
      </c>
    </row>
    <row r="6">
      <c r="A6" t="str">
        <v/>
      </c>
      <c r="B6" t="str">
        <v/>
      </c>
      <c r="E6">
        <f>C6+D6</f>
      </c>
      <c r="I6">
        <f>F6+G6+H6</f>
      </c>
      <c r="J6">
        <f>I6-E6</f>
      </c>
      <c r="L6" t="str">
        <v/>
      </c>
      <c r="M6" t="str">
        <v/>
      </c>
    </row>
    <row r="7">
      <c r="A7" t="str">
        <v/>
      </c>
      <c r="B7" t="str">
        <v/>
      </c>
      <c r="E7">
        <f>C7+D7</f>
      </c>
      <c r="I7">
        <f>F7+G7+H7</f>
      </c>
      <c r="J7">
        <f>I7-E7</f>
      </c>
      <c r="L7" t="str">
        <v/>
      </c>
      <c r="M7" t="str">
        <v/>
      </c>
    </row>
    <row r="8">
      <c r="A8" t="str">
        <v/>
      </c>
      <c r="B8" t="str">
        <v/>
      </c>
      <c r="E8">
        <f>C8+D8</f>
      </c>
      <c r="I8">
        <f>F8+G8+H8</f>
      </c>
      <c r="J8">
        <f>I8-E8</f>
      </c>
      <c r="L8" t="str">
        <v/>
      </c>
      <c r="M8" t="str">
        <v/>
      </c>
    </row>
    <row r="9">
      <c r="A9" t="str">
        <v/>
      </c>
      <c r="B9" t="str">
        <v/>
      </c>
      <c r="E9">
        <f>C9+D9</f>
      </c>
      <c r="I9">
        <f>F9+G9+H9</f>
      </c>
      <c r="J9">
        <f>I9-E9</f>
      </c>
      <c r="L9" t="str">
        <v/>
      </c>
      <c r="M9" t="str">
        <v/>
      </c>
    </row>
    <row r="10">
      <c r="A10" t="str">
        <v/>
      </c>
      <c r="B10" t="str">
        <v/>
      </c>
      <c r="E10">
        <f>C10+D10</f>
      </c>
      <c r="I10">
        <f>F10+G10+H10</f>
      </c>
      <c r="J10">
        <f>I10-E10</f>
      </c>
      <c r="L10" t="str">
        <v/>
      </c>
      <c r="M10" t="str">
        <v/>
      </c>
    </row>
    <row r="11">
      <c r="A11" t="str">
        <v/>
      </c>
      <c r="B11" t="str">
        <v/>
      </c>
      <c r="E11">
        <f>C11+D11</f>
      </c>
      <c r="I11">
        <f>F11+G11+H11</f>
      </c>
      <c r="J11">
        <f>I11-E11</f>
      </c>
      <c r="L11" t="str">
        <v/>
      </c>
      <c r="M11" t="str">
        <v/>
      </c>
    </row>
    <row r="12">
      <c r="A12" t="str">
        <v/>
      </c>
      <c r="B12" t="str">
        <v/>
      </c>
      <c r="E12">
        <f>C12+D12</f>
      </c>
      <c r="I12">
        <f>F12+G12+H12</f>
      </c>
      <c r="J12">
        <f>I12-E12</f>
      </c>
      <c r="L12" t="str">
        <v/>
      </c>
      <c r="M12" t="str">
        <v/>
      </c>
    </row>
    <row r="13">
      <c r="A13" t="str">
        <v/>
      </c>
      <c r="B13" t="str">
        <v/>
      </c>
      <c r="E13">
        <f>C13+D13</f>
      </c>
      <c r="I13">
        <f>F13+G13+H13</f>
      </c>
      <c r="J13">
        <f>I13-E13</f>
      </c>
      <c r="L13" t="str">
        <v/>
      </c>
      <c r="M13" t="str">
        <v/>
      </c>
    </row>
    <row r="14">
      <c r="A14" t="str">
        <v/>
      </c>
      <c r="B14" t="str">
        <v/>
      </c>
      <c r="E14">
        <f>C14+D14</f>
      </c>
      <c r="I14">
        <f>F14+G14+H14</f>
      </c>
      <c r="J14">
        <f>I14-E14</f>
      </c>
      <c r="L14" t="str">
        <v/>
      </c>
      <c r="M14" t="str">
        <v/>
      </c>
    </row>
    <row r="15">
      <c r="A15" t="str">
        <v/>
      </c>
      <c r="B15" t="str">
        <v/>
      </c>
      <c r="E15">
        <f>C15+D15</f>
      </c>
      <c r="I15">
        <f>F15+G15+H15</f>
      </c>
      <c r="J15">
        <f>I15-E15</f>
      </c>
      <c r="L15" t="str">
        <v/>
      </c>
      <c r="M15" t="str">
        <v/>
      </c>
    </row>
    <row r="16">
      <c r="A16" t="str">
        <v/>
      </c>
      <c r="B16" t="str">
        <v/>
      </c>
      <c r="E16">
        <f>C16+D16</f>
      </c>
      <c r="I16">
        <f>F16+G16+H16</f>
      </c>
      <c r="J16">
        <f>I16-E16</f>
      </c>
      <c r="L16" t="str">
        <v/>
      </c>
      <c r="M16" t="str">
        <v/>
      </c>
    </row>
    <row r="17">
      <c r="A17" t="str">
        <v/>
      </c>
      <c r="B17" t="str">
        <v/>
      </c>
      <c r="E17">
        <f>C17+D17</f>
      </c>
      <c r="I17">
        <f>F17+G17+H17</f>
      </c>
      <c r="J17">
        <f>I17-E17</f>
      </c>
      <c r="L17" t="str">
        <v/>
      </c>
      <c r="M17" t="str">
        <v/>
      </c>
    </row>
    <row r="18">
      <c r="A18" t="str">
        <v/>
      </c>
      <c r="B18" t="str">
        <v/>
      </c>
      <c r="E18">
        <f>C18+D18</f>
      </c>
      <c r="I18">
        <f>F18+G18+H18</f>
      </c>
      <c r="J18">
        <f>I18-E18</f>
      </c>
      <c r="L18" t="str">
        <v/>
      </c>
      <c r="M18" t="str">
        <v/>
      </c>
    </row>
    <row r="19">
      <c r="A19" t="str">
        <v/>
      </c>
      <c r="B19" t="str">
        <v/>
      </c>
      <c r="E19">
        <f>C19+D19</f>
      </c>
      <c r="I19">
        <f>F19+G19+H19</f>
      </c>
      <c r="J19">
        <f>I19-E19</f>
      </c>
      <c r="L19" t="str">
        <v/>
      </c>
      <c r="M19" t="str">
        <v/>
      </c>
    </row>
    <row r="20">
      <c r="A20" t="str">
        <v/>
      </c>
      <c r="B20" t="str">
        <v/>
      </c>
      <c r="E20">
        <f>C20+D20</f>
      </c>
      <c r="I20">
        <f>F20+G20+H20</f>
      </c>
      <c r="J20">
        <f>I20-E20</f>
      </c>
      <c r="L20" t="str">
        <v/>
      </c>
      <c r="M20" t="str">
        <v/>
      </c>
    </row>
  </sheetData>
  <ignoredErrors>
    <ignoredError numberStoredAsText="1" sqref="A1:M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Detailed Product Sales</vt:lpstr>
      <vt:lpstr>Daily Summary &amp; Reconciliation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