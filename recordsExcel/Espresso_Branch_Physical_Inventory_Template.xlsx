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Master Inventory Count" sheetId="1" state="visible" r:id="rId1"/>
    <sheet name="☕ Bar &amp; Kitchen (Ingredients)" sheetId="2" state="visible" r:id="rId2"/>
    <sheet name="🥤 Retail, Drinks &amp; Merch" sheetId="3" state="visible" r:id="rId3"/>
    <sheet name="🛠️ Equipment &amp; Supplies" sheetId="4" state="visible" r:id="rId4"/>
    <sheet name="🖨️ Printable Walkaround She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₱#,##0.00"/>
    <numFmt numFmtId="165" formatCode="+#,##0.00;-#,##0.00;0.00"/>
    <numFmt numFmtId="166" formatCode="₱+#,##0.00;₱-#,##0.00;₱0.00"/>
  </numFmts>
  <fonts count="13">
    <font>
      <name val="Calibri"/>
      <family val="2"/>
      <color theme="1"/>
      <sz val="11"/>
      <scheme val="minor"/>
    </font>
    <font>
      <name val="Segoe UI"/>
      <b val="1"/>
      <color rgb="002B1704"/>
      <sz val="16"/>
    </font>
    <font>
      <name val="Segoe UI"/>
      <color rgb="005A4A3A"/>
      <sz val="10"/>
    </font>
    <font>
      <name val="Segoe UI"/>
      <b val="1"/>
      <color rgb="00555555"/>
      <sz val="9"/>
    </font>
    <font>
      <name val="Segoe UI"/>
      <b val="1"/>
      <color rgb="001F1F1F"/>
      <sz val="10"/>
    </font>
    <font>
      <name val="Segoe UI"/>
      <b val="1"/>
      <color rgb="00FFFFFF"/>
      <sz val="10"/>
    </font>
    <font>
      <name val="Segoe UI"/>
      <b val="1"/>
      <color rgb="00FFFFFF"/>
      <sz val="11"/>
    </font>
    <font>
      <name val="Segoe UI"/>
      <color rgb="00666666"/>
      <sz val="9"/>
    </font>
    <font>
      <name val="Segoe UI"/>
      <b val="1"/>
      <color rgb="00111111"/>
      <sz val="10"/>
    </font>
    <font>
      <name val="Segoe UI"/>
      <color rgb="00222222"/>
      <sz val="10"/>
    </font>
    <font>
      <name val="Segoe UI"/>
      <b val="1"/>
      <color rgb="009C5B00"/>
      <sz val="11"/>
    </font>
    <font>
      <name val="Segoe UI"/>
      <i val="1"/>
      <color rgb="00666666"/>
      <sz val="9"/>
    </font>
    <font>
      <name val="Segoe UI"/>
      <b val="1"/>
      <color rgb="002B1704"/>
      <sz val="10"/>
    </font>
  </fonts>
  <fills count="21">
    <fill>
      <patternFill/>
    </fill>
    <fill>
      <patternFill patternType="gray125"/>
    </fill>
    <fill>
      <patternFill patternType="solid">
        <fgColor rgb="00F9F6F0"/>
        <bgColor rgb="00F9F6F0"/>
      </patternFill>
    </fill>
    <fill>
      <patternFill patternType="solid">
        <fgColor rgb="002B1704"/>
        <bgColor rgb="002B1704"/>
      </patternFill>
    </fill>
    <fill>
      <patternFill patternType="solid">
        <fgColor rgb="00D48806"/>
        <bgColor rgb="00D48806"/>
      </patternFill>
    </fill>
    <fill>
      <patternFill patternType="solid">
        <fgColor rgb="003D2314"/>
        <bgColor rgb="003D2314"/>
      </patternFill>
    </fill>
    <fill>
      <patternFill patternType="solid">
        <fgColor rgb="00FFFFFF"/>
        <bgColor rgb="00FFFFFF"/>
      </patternFill>
    </fill>
    <fill>
      <patternFill patternType="solid">
        <fgColor rgb="00FFFDE7"/>
        <bgColor rgb="00FFFDE7"/>
      </patternFill>
    </fill>
    <fill>
      <patternFill patternType="solid">
        <fgColor rgb="00FDFBF7"/>
        <bgColor rgb="00FDFBF7"/>
      </patternFill>
    </fill>
    <fill>
      <patternFill patternType="solid">
        <fgColor rgb="00F5EBE6"/>
        <bgColor rgb="00F5EBE6"/>
      </patternFill>
    </fill>
    <fill>
      <patternFill patternType="solid">
        <fgColor rgb="005C3A21"/>
        <bgColor rgb="005C3A21"/>
      </patternFill>
    </fill>
    <fill>
      <patternFill patternType="solid">
        <fgColor rgb="007B4B28"/>
        <bgColor rgb="007B4B28"/>
      </patternFill>
    </fill>
    <fill>
      <patternFill patternType="solid">
        <fgColor rgb="002D5A27"/>
        <bgColor rgb="002D5A27"/>
      </patternFill>
    </fill>
    <fill>
      <patternFill patternType="solid">
        <fgColor rgb="00996515"/>
        <bgColor rgb="00996515"/>
      </patternFill>
    </fill>
    <fill>
      <patternFill patternType="solid">
        <fgColor rgb="001A4870"/>
        <bgColor rgb="001A4870"/>
      </patternFill>
    </fill>
    <fill>
      <patternFill patternType="solid">
        <fgColor rgb="007A3E26"/>
        <bgColor rgb="007A3E26"/>
      </patternFill>
    </fill>
    <fill>
      <patternFill patternType="solid">
        <fgColor rgb="00334A60"/>
        <bgColor rgb="00334A60"/>
      </patternFill>
    </fill>
    <fill>
      <patternFill patternType="solid">
        <fgColor rgb="00635334"/>
        <bgColor rgb="00635334"/>
      </patternFill>
    </fill>
    <fill>
      <patternFill patternType="solid">
        <fgColor rgb="004A3F50"/>
        <bgColor rgb="004A3F50"/>
      </patternFill>
    </fill>
    <fill>
      <patternFill patternType="solid">
        <fgColor rgb="0026384A"/>
        <bgColor rgb="0026384A"/>
      </patternFill>
    </fill>
    <fill>
      <patternFill patternType="solid">
        <fgColor rgb="00125252"/>
        <bgColor rgb="00125252"/>
      </patternFill>
    </fill>
  </fills>
  <borders count="4">
    <border>
      <left/>
      <right/>
      <top/>
      <bottom/>
      <diagonal/>
    </border>
    <border>
      <left style="thin">
        <color rgb="00E0DCD5"/>
      </left>
      <right style="thin">
        <color rgb="00E0DCD5"/>
      </right>
      <top style="thin">
        <color rgb="00E0DCD5"/>
      </top>
      <bottom style="thin">
        <color rgb="00E0DCD5"/>
      </bottom>
    </border>
    <border>
      <left style="medium">
        <color rgb="00C68B59"/>
      </left>
      <right style="medium">
        <color rgb="00C68B59"/>
      </right>
      <top style="thin">
        <color rgb="00E0DCD5"/>
      </top>
      <bottom style="thin">
        <color rgb="00E0DCD5"/>
      </bottom>
    </border>
    <border>
      <left style="thin">
        <color rgb="00E0DCD5"/>
      </left>
      <right style="thin">
        <color rgb="00E0DCD5"/>
      </right>
      <top style="thin">
        <color rgb="004A2E18"/>
      </top>
      <bottom style="double">
        <color rgb="004A2E18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164" fontId="9" fillId="6" borderId="1" applyAlignment="1" pivotButton="0" quotePrefix="0" xfId="0">
      <alignment horizontal="right" vertical="center"/>
    </xf>
    <xf numFmtId="4" fontId="9" fillId="6" borderId="1" applyAlignment="1" pivotButton="0" quotePrefix="0" xfId="0">
      <alignment horizontal="right" vertical="center"/>
    </xf>
    <xf numFmtId="4" fontId="10" fillId="7" borderId="2" applyAlignment="1" pivotButton="0" quotePrefix="0" xfId="0">
      <alignment horizontal="center" vertical="center"/>
    </xf>
    <xf numFmtId="165" fontId="8" fillId="6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164" fontId="8" fillId="6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center"/>
    </xf>
    <xf numFmtId="164" fontId="9" fillId="8" borderId="1" applyAlignment="1" pivotButton="0" quotePrefix="0" xfId="0">
      <alignment horizontal="right" vertical="center"/>
    </xf>
    <xf numFmtId="4" fontId="9" fillId="8" borderId="1" applyAlignment="1" pivotButton="0" quotePrefix="0" xfId="0">
      <alignment horizontal="right" vertical="center"/>
    </xf>
    <xf numFmtId="165" fontId="8" fillId="8" borderId="1" applyAlignment="1" pivotButton="0" quotePrefix="0" xfId="0">
      <alignment horizontal="right" vertical="center"/>
    </xf>
    <xf numFmtId="166" fontId="8" fillId="8" borderId="1" applyAlignment="1" pivotButton="0" quotePrefix="0" xfId="0">
      <alignment horizontal="right" vertical="center"/>
    </xf>
    <xf numFmtId="164" fontId="8" fillId="8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12" fillId="9" borderId="3" applyAlignment="1" pivotButton="0" quotePrefix="0" xfId="0">
      <alignment horizontal="right" vertical="center"/>
    </xf>
    <xf numFmtId="0" fontId="0" fillId="9" borderId="3" pivotButton="0" quotePrefix="0" xfId="0"/>
    <xf numFmtId="4" fontId="12" fillId="9" borderId="3" applyAlignment="1" pivotButton="0" quotePrefix="0" xfId="0">
      <alignment horizontal="right" vertical="center"/>
    </xf>
    <xf numFmtId="165" fontId="12" fillId="9" borderId="3" applyAlignment="1" pivotButton="0" quotePrefix="0" xfId="0">
      <alignment horizontal="right" vertical="center"/>
    </xf>
    <xf numFmtId="166" fontId="12" fillId="9" borderId="3" applyAlignment="1" pivotButton="0" quotePrefix="0" xfId="0">
      <alignment horizontal="right" vertical="center"/>
    </xf>
    <xf numFmtId="164" fontId="12" fillId="9" borderId="3" applyAlignment="1" pivotButton="0" quotePrefix="0" xfId="0">
      <alignment horizontal="right" vertical="center"/>
    </xf>
    <xf numFmtId="0" fontId="6" fillId="10" borderId="0" applyAlignment="1" pivotButton="0" quotePrefix="0" xfId="0">
      <alignment horizontal="left" vertical="center"/>
    </xf>
    <xf numFmtId="0" fontId="6" fillId="11" borderId="0" applyAlignment="1" pivotButton="0" quotePrefix="0" xfId="0">
      <alignment horizontal="left" vertical="center"/>
    </xf>
    <xf numFmtId="0" fontId="6" fillId="12" borderId="0" applyAlignment="1" pivotButton="0" quotePrefix="0" xfId="0">
      <alignment horizontal="left" vertical="center"/>
    </xf>
    <xf numFmtId="0" fontId="6" fillId="13" borderId="0" applyAlignment="1" pivotButton="0" quotePrefix="0" xfId="0">
      <alignment horizontal="left" vertical="center"/>
    </xf>
    <xf numFmtId="0" fontId="6" fillId="14" borderId="0" applyAlignment="1" pivotButton="0" quotePrefix="0" xfId="0">
      <alignment horizontal="left" vertical="center"/>
    </xf>
    <xf numFmtId="0" fontId="6" fillId="15" borderId="0" applyAlignment="1" pivotButton="0" quotePrefix="0" xfId="0">
      <alignment horizontal="left" vertical="center"/>
    </xf>
    <xf numFmtId="0" fontId="6" fillId="16" borderId="0" applyAlignment="1" pivotButton="0" quotePrefix="0" xfId="0">
      <alignment horizontal="left" vertical="center"/>
    </xf>
    <xf numFmtId="0" fontId="6" fillId="17" borderId="0" applyAlignment="1" pivotButton="0" quotePrefix="0" xfId="0">
      <alignment horizontal="left" vertical="center"/>
    </xf>
    <xf numFmtId="0" fontId="6" fillId="18" borderId="0" applyAlignment="1" pivotButton="0" quotePrefix="0" xfId="0">
      <alignment horizontal="left" vertical="center"/>
    </xf>
    <xf numFmtId="0" fontId="6" fillId="19" borderId="0" applyAlignment="1" pivotButton="0" quotePrefix="0" xfId="0">
      <alignment horizontal="left" vertical="center"/>
    </xf>
    <xf numFmtId="0" fontId="6" fillId="2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right" vertical="center"/>
    </xf>
    <xf numFmtId="0" fontId="0" fillId="3" borderId="1" pivotButton="0" quotePrefix="0" xfId="0"/>
    <xf numFmtId="4" fontId="6" fillId="3" borderId="1" applyAlignment="1" pivotButton="0" quotePrefix="0" xfId="0">
      <alignment horizontal="right" vertical="center"/>
    </xf>
    <xf numFmtId="165" fontId="6" fillId="3" borderId="1" applyAlignment="1" pivotButton="0" quotePrefix="0" xfId="0">
      <alignment horizontal="right" vertical="center"/>
    </xf>
    <xf numFmtId="166" fontId="6" fillId="3" borderId="1" applyAlignment="1" pivotButton="0" quotePrefix="0" xfId="0">
      <alignment horizontal="right" vertical="center"/>
    </xf>
    <xf numFmtId="164" fontId="6" fillId="3" borderId="1" applyAlignment="1" pivotButton="0" quotePrefix="0" xfId="0">
      <alignment horizontal="right" vertical="center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dxfs count="2">
    <dxf>
      <font>
        <name val="Segoe UI"/>
        <b val="1"/>
        <color rgb="00C00000"/>
        <sz val="10"/>
      </font>
      <fill>
        <patternFill patternType="solid">
          <fgColor rgb="00FCE4D6"/>
          <bgColor rgb="00FCE4D6"/>
        </patternFill>
      </fill>
    </dxf>
    <dxf>
      <font>
        <name val="Segoe UI"/>
        <b val="1"/>
        <color rgb="00375623"/>
        <sz val="10"/>
      </font>
      <fill>
        <patternFill patternType="solid">
          <fgColor rgb="00E2EFDA"/>
          <b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5" customWidth="1" min="4" max="4"/>
    <col width="15" customWidth="1" min="5" max="5"/>
    <col width="21" customWidth="1" min="6" max="6"/>
    <col width="16" customWidth="1" min="7" max="7"/>
    <col width="18" customWidth="1" min="8" max="8"/>
    <col width="20" customWidth="1" min="9" max="9"/>
    <col width="16" customWidth="1" min="10" max="10"/>
    <col width="32" customWidth="1" min="11" max="11"/>
  </cols>
  <sheetData>
    <row r="1" ht="28" customHeight="1">
      <c r="A1" s="1" t="inlineStr">
        <is>
          <t>☕ ESPRESSO YOURSELF &amp; TEA HOUSE — PHYSICAL INVENTORY AUDIT</t>
        </is>
      </c>
    </row>
    <row r="2" ht="18" customHeight="1">
      <c r="A2" s="2" t="inlineStr">
        <is>
          <t>Branch: Cebu City (#30)  |  Audit Section: Full Store Master Audit  |  Generated for Today's Stock Count</t>
        </is>
      </c>
    </row>
    <row r="4" ht="22" customHeight="1">
      <c r="A4" s="3" t="inlineStr">
        <is>
          <t>AUDIT DATE:</t>
        </is>
      </c>
      <c r="C4" s="4" t="inlineStr">
        <is>
          <t>September 15, 2026</t>
        </is>
      </c>
      <c r="E4" s="3" t="inlineStr">
        <is>
          <t>COUNTED BY (BARISTA):</t>
        </is>
      </c>
      <c r="G4" s="4" t="inlineStr">
        <is>
          <t>________________________</t>
        </is>
      </c>
      <c r="I4" s="3" t="inlineStr">
        <is>
          <t>STATUS:</t>
        </is>
      </c>
      <c r="K4" s="4" t="inlineStr">
        <is>
          <t>READY FOR COUNT</t>
        </is>
      </c>
    </row>
    <row r="5" ht="22" customHeight="1">
      <c r="A5" s="3" t="inlineStr">
        <is>
          <t>STORE SHIFT:</t>
        </is>
      </c>
      <c r="C5" s="4" t="inlineStr">
        <is>
          <t>All-Day / Closing Audit</t>
        </is>
      </c>
      <c r="E5" s="3" t="inlineStr">
        <is>
          <t>VERIFIED BY (SUPERVISOR):</t>
        </is>
      </c>
      <c r="G5" s="4" t="inlineStr">
        <is>
          <t>________________________</t>
        </is>
      </c>
      <c r="I5" s="3" t="inlineStr">
        <is>
          <t>DISCREPANCY ACTION:</t>
        </is>
      </c>
      <c r="K5" s="4" t="inlineStr">
        <is>
          <t>Requires Manager Sign-off</t>
        </is>
      </c>
    </row>
    <row r="7" ht="28" customHeight="1">
      <c r="A7" s="5" t="inlineStr">
        <is>
          <t>SKU / CODE</t>
        </is>
      </c>
      <c r="B7" s="5" t="inlineStr">
        <is>
          <t>ITEM DESCRIPTION &amp; SPECS</t>
        </is>
      </c>
      <c r="C7" s="5" t="inlineStr">
        <is>
          <t>UOM</t>
        </is>
      </c>
      <c r="D7" s="5" t="inlineStr">
        <is>
          <t>UNIT COST (₱)</t>
        </is>
      </c>
      <c r="E7" s="5" t="inlineStr">
        <is>
          <t>SYSTEM STOCK</t>
        </is>
      </c>
      <c r="F7" s="6" t="inlineStr">
        <is>
          <t>★ PHYSICAL COUNT ★</t>
        </is>
      </c>
      <c r="G7" s="5" t="inlineStr">
        <is>
          <t>VARIANCE (QTY)</t>
        </is>
      </c>
      <c r="H7" s="5" t="inlineStr">
        <is>
          <t>VARIANCE VALUE (₱)</t>
        </is>
      </c>
      <c r="I7" s="5" t="inlineStr">
        <is>
          <t>TOTAL COUNT VALUE (₱)</t>
        </is>
      </c>
      <c r="J7" s="5" t="inlineStr">
        <is>
          <t>AUDIT STATUS</t>
        </is>
      </c>
      <c r="K7" s="5" t="inlineStr">
        <is>
          <t>BARISTA REMARKS / EXPIRY</t>
        </is>
      </c>
    </row>
    <row r="8" ht="24" customHeight="1">
      <c r="A8" s="7" t="inlineStr">
        <is>
          <t xml:space="preserve">  ☕  1. COFFEE BEANS &amp; DRINK BASES</t>
        </is>
      </c>
    </row>
    <row r="9" ht="21" customHeight="1">
      <c r="A9" s="8" t="inlineStr">
        <is>
          <t>ING-001</t>
        </is>
      </c>
      <c r="B9" s="9" t="inlineStr">
        <is>
          <t>Concept Blend 1 (Espresso Beans)</t>
        </is>
      </c>
      <c r="C9" s="10" t="inlineStr">
        <is>
          <t>Pack (1kg)</t>
        </is>
      </c>
      <c r="D9" s="11" t="n">
        <v>980</v>
      </c>
      <c r="E9" s="12" t="n">
        <v>6.27</v>
      </c>
      <c r="F9" s="13" t="n"/>
      <c r="G9" s="14">
        <f>IF(ISBLANK(F9), "", F9 - E9)</f>
        <v/>
      </c>
      <c r="H9" s="15">
        <f>IF(ISBLANK(F9), "", G9 * D9)</f>
        <v/>
      </c>
      <c r="I9" s="16">
        <f>IF(ISBLANK(F9), "", F9 * D9)</f>
        <v/>
      </c>
      <c r="J9" s="17">
        <f>IF(ISBLANK(F9), "⏳ Pending", IF(G9=0, "✅ Match", IF(G9&lt;0, "⚠️ Shortage", "🔺 Surplus")))</f>
        <v/>
      </c>
      <c r="K9" s="18" t="inlineStr">
        <is>
          <t>Main house espresso blend</t>
        </is>
      </c>
    </row>
    <row r="10" ht="21" customHeight="1">
      <c r="A10" s="19" t="inlineStr">
        <is>
          <t>ING-002</t>
        </is>
      </c>
      <c r="B10" s="20" t="inlineStr">
        <is>
          <t>Australia's Own Coffee Blend</t>
        </is>
      </c>
      <c r="C10" s="21" t="inlineStr">
        <is>
          <t>Pack</t>
        </is>
      </c>
      <c r="D10" s="22" t="n">
        <v>204</v>
      </c>
      <c r="E10" s="23" t="n">
        <v>1</v>
      </c>
      <c r="F10" s="13" t="n"/>
      <c r="G10" s="24">
        <f>IF(ISBLANK(F10), "", F10 - E10)</f>
        <v/>
      </c>
      <c r="H10" s="25">
        <f>IF(ISBLANK(F10), "", G10 * D10)</f>
        <v/>
      </c>
      <c r="I10" s="26">
        <f>IF(ISBLANK(F10), "", F10 * D10)</f>
        <v/>
      </c>
      <c r="J10" s="27">
        <f>IF(ISBLANK(F10), "⏳ Pending", IF(G10=0, "✅ Match", IF(G10&lt;0, "⚠️ Shortage", "🔺 Surplus")))</f>
        <v/>
      </c>
      <c r="K10" s="28" t="inlineStr">
        <is>
          <t>Specialty roast</t>
        </is>
      </c>
    </row>
    <row r="11" ht="21" customHeight="1">
      <c r="A11" s="8" t="inlineStr">
        <is>
          <t>ING-003</t>
        </is>
      </c>
      <c r="B11" s="9" t="inlineStr">
        <is>
          <t>Easy Dark Chocolate Base 1kg</t>
        </is>
      </c>
      <c r="C11" s="10" t="inlineStr">
        <is>
          <t>Pack (1kg)</t>
        </is>
      </c>
      <c r="D11" s="11" t="n">
        <v>396</v>
      </c>
      <c r="E11" s="12" t="n">
        <v>1</v>
      </c>
      <c r="F11" s="13" t="n"/>
      <c r="G11" s="14">
        <f>IF(ISBLANK(F11), "", F11 - E11)</f>
        <v/>
      </c>
      <c r="H11" s="15">
        <f>IF(ISBLANK(F11), "", G11 * D11)</f>
        <v/>
      </c>
      <c r="I11" s="16">
        <f>IF(ISBLANK(F11), "", F11 * D11)</f>
        <v/>
      </c>
      <c r="J11" s="17">
        <f>IF(ISBLANK(F11), "⏳ Pending", IF(G11=0, "✅ Match", IF(G11&lt;0, "⚠️ Shortage", "🔺 Surplus")))</f>
        <v/>
      </c>
      <c r="K11" s="18" t="inlineStr">
        <is>
          <t>Mocha &amp; Hot Choco base powder</t>
        </is>
      </c>
    </row>
    <row r="12" ht="21" customHeight="1">
      <c r="A12" s="19" t="inlineStr">
        <is>
          <t>ING-004</t>
        </is>
      </c>
      <c r="B12" s="20" t="inlineStr">
        <is>
          <t>Easy Cookies &amp; Cream Powder 1kg</t>
        </is>
      </c>
      <c r="C12" s="21" t="inlineStr">
        <is>
          <t>Pack (1kg)</t>
        </is>
      </c>
      <c r="D12" s="22" t="n">
        <v>305</v>
      </c>
      <c r="E12" s="23" t="n">
        <v>1</v>
      </c>
      <c r="F12" s="13" t="n"/>
      <c r="G12" s="24">
        <f>IF(ISBLANK(F12), "", F12 - E12)</f>
        <v/>
      </c>
      <c r="H12" s="25">
        <f>IF(ISBLANK(F12), "", G12 * D12)</f>
        <v/>
      </c>
      <c r="I12" s="26">
        <f>IF(ISBLANK(F12), "", F12 * D12)</f>
        <v/>
      </c>
      <c r="J12" s="27">
        <f>IF(ISBLANK(F12), "⏳ Pending", IF(G12=0, "✅ Match", IF(G12&lt;0, "⚠️ Shortage", "🔺 Surplus")))</f>
        <v/>
      </c>
      <c r="K12" s="28" t="inlineStr">
        <is>
          <t>Blended frappe &amp; Oreo base</t>
        </is>
      </c>
    </row>
    <row r="13" ht="21" customHeight="1">
      <c r="A13" s="8" t="inlineStr">
        <is>
          <t>ING-005</t>
        </is>
      </c>
      <c r="B13" s="9" t="inlineStr">
        <is>
          <t>Bakersfield Caramel Fudge 1kg</t>
        </is>
      </c>
      <c r="C13" s="10" t="inlineStr">
        <is>
          <t>Pack (1kg)</t>
        </is>
      </c>
      <c r="D13" s="11" t="n">
        <v>415</v>
      </c>
      <c r="E13" s="12" t="n">
        <v>1</v>
      </c>
      <c r="F13" s="13" t="n"/>
      <c r="G13" s="14">
        <f>IF(ISBLANK(F13), "", F13 - E13)</f>
        <v/>
      </c>
      <c r="H13" s="15">
        <f>IF(ISBLANK(F13), "", G13 * D13)</f>
        <v/>
      </c>
      <c r="I13" s="16">
        <f>IF(ISBLANK(F13), "", F13 * D13)</f>
        <v/>
      </c>
      <c r="J13" s="17">
        <f>IF(ISBLANK(F13), "⏳ Pending", IF(G13=0, "✅ Match", IF(G13&lt;0, "⚠️ Shortage", "🔺 Surplus")))</f>
        <v/>
      </c>
      <c r="K13" s="18" t="inlineStr">
        <is>
          <t>Caramel drizzle &amp; drink base</t>
        </is>
      </c>
    </row>
    <row r="14" ht="21" customHeight="1">
      <c r="A14" s="19" t="inlineStr">
        <is>
          <t>ING-006</t>
        </is>
      </c>
      <c r="B14" s="20" t="inlineStr">
        <is>
          <t>Whoop Classic Ube Taro Powder 1kg</t>
        </is>
      </c>
      <c r="C14" s="21" t="inlineStr">
        <is>
          <t>Pack (1kg)</t>
        </is>
      </c>
      <c r="D14" s="22" t="n">
        <v>380</v>
      </c>
      <c r="E14" s="23" t="n">
        <v>1</v>
      </c>
      <c r="F14" s="13" t="n"/>
      <c r="G14" s="24">
        <f>IF(ISBLANK(F14), "", F14 - E14)</f>
        <v/>
      </c>
      <c r="H14" s="25">
        <f>IF(ISBLANK(F14), "", G14 * D14)</f>
        <v/>
      </c>
      <c r="I14" s="26">
        <f>IF(ISBLANK(F14), "", F14 * D14)</f>
        <v/>
      </c>
      <c r="J14" s="27">
        <f>IF(ISBLANK(F14), "⏳ Pending", IF(G14=0, "✅ Match", IF(G14&lt;0, "⚠️ Shortage", "🔺 Surplus")))</f>
        <v/>
      </c>
      <c r="K14" s="28" t="inlineStr">
        <is>
          <t>Specialty blended drink base</t>
        </is>
      </c>
    </row>
    <row r="15" ht="22" customHeight="1">
      <c r="A15" s="29" t="inlineStr">
        <is>
          <t>Subtotal — Coffee Beans &amp; Drink Bases:</t>
        </is>
      </c>
      <c r="B15" s="30" t="n"/>
      <c r="C15" s="30" t="n"/>
      <c r="D15" s="30" t="inlineStr"/>
      <c r="E15" s="31">
        <f>SUM(E9:E14)</f>
        <v/>
      </c>
      <c r="F15" s="31">
        <f>SUM(F9:F14)</f>
        <v/>
      </c>
      <c r="G15" s="32">
        <f>SUM(G9:G14)</f>
        <v/>
      </c>
      <c r="H15" s="33">
        <f>SUM(H9:H14)</f>
        <v/>
      </c>
      <c r="I15" s="34">
        <f>SUM(I9:I14)</f>
        <v/>
      </c>
      <c r="J15" s="30" t="inlineStr"/>
      <c r="K15" s="30" t="inlineStr"/>
    </row>
    <row r="17" ht="24" customHeight="1">
      <c r="A17" s="35" t="inlineStr">
        <is>
          <t xml:space="preserve">  🥛  2. MILKS &amp; DAIRY SUPPLIES</t>
        </is>
      </c>
    </row>
    <row r="18" ht="21" customHeight="1">
      <c r="A18" s="8" t="inlineStr">
        <is>
          <t>ING-007</t>
        </is>
      </c>
      <c r="B18" s="9" t="inlineStr">
        <is>
          <t>Arla Full Cream Milk 1L</t>
        </is>
      </c>
      <c r="C18" s="10" t="inlineStr">
        <is>
          <t>Pack (1L)</t>
        </is>
      </c>
      <c r="D18" s="11" t="n">
        <v>99</v>
      </c>
      <c r="E18" s="12" t="n">
        <v>10</v>
      </c>
      <c r="F18" s="13" t="n"/>
      <c r="G18" s="14">
        <f>IF(ISBLANK(F18), "", F18 - E18)</f>
        <v/>
      </c>
      <c r="H18" s="15">
        <f>IF(ISBLANK(F18), "", G18 * D18)</f>
        <v/>
      </c>
      <c r="I18" s="16">
        <f>IF(ISBLANK(F18), "", F18 * D18)</f>
        <v/>
      </c>
      <c r="J18" s="17">
        <f>IF(ISBLANK(F18), "⏳ Pending", IF(G18=0, "✅ Match", IF(G18&lt;0, "⚠️ Shortage", "🔺 Surplus")))</f>
        <v/>
      </c>
      <c r="K18" s="18" t="inlineStr">
        <is>
          <t>Primary steaming milk for lattes</t>
        </is>
      </c>
    </row>
    <row r="19" ht="21" customHeight="1">
      <c r="A19" s="19" t="inlineStr">
        <is>
          <t>ING-008</t>
        </is>
      </c>
      <c r="B19" s="20" t="inlineStr">
        <is>
          <t>Master Barista Cow's Milk 1L</t>
        </is>
      </c>
      <c r="C19" s="21" t="inlineStr">
        <is>
          <t>Pack (1L)</t>
        </is>
      </c>
      <c r="D19" s="22" t="n">
        <v>110</v>
      </c>
      <c r="E19" s="23" t="n">
        <v>12</v>
      </c>
      <c r="F19" s="13" t="n"/>
      <c r="G19" s="24">
        <f>IF(ISBLANK(F19), "", F19 - E19)</f>
        <v/>
      </c>
      <c r="H19" s="25">
        <f>IF(ISBLANK(F19), "", G19 * D19)</f>
        <v/>
      </c>
      <c r="I19" s="26">
        <f>IF(ISBLANK(F19), "", F19 * D19)</f>
        <v/>
      </c>
      <c r="J19" s="27">
        <f>IF(ISBLANK(F19), "⏳ Pending", IF(G19=0, "✅ Match", IF(G19&lt;0, "⚠️ Shortage", "🔺 Surplus")))</f>
        <v/>
      </c>
      <c r="K19" s="28" t="inlineStr">
        <is>
          <t>Barista specialty milk</t>
        </is>
      </c>
    </row>
    <row r="20" ht="21" customHeight="1">
      <c r="A20" s="8" t="inlineStr">
        <is>
          <t>ING-009</t>
        </is>
      </c>
      <c r="B20" s="9" t="inlineStr">
        <is>
          <t>Doreen Condensed Milk 390g</t>
        </is>
      </c>
      <c r="C20" s="10" t="inlineStr">
        <is>
          <t>Can (390g)</t>
        </is>
      </c>
      <c r="D20" s="11" t="n">
        <v>44</v>
      </c>
      <c r="E20" s="12" t="n">
        <v>19.23</v>
      </c>
      <c r="F20" s="13" t="n"/>
      <c r="G20" s="14">
        <f>IF(ISBLANK(F20), "", F20 - E20)</f>
        <v/>
      </c>
      <c r="H20" s="15">
        <f>IF(ISBLANK(F20), "", G20 * D20)</f>
        <v/>
      </c>
      <c r="I20" s="16">
        <f>IF(ISBLANK(F20), "", F20 * D20)</f>
        <v/>
      </c>
      <c r="J20" s="17">
        <f>IF(ISBLANK(F20), "⏳ Pending", IF(G20=0, "✅ Match", IF(G20&lt;0, "⚠️ Shortage", "🔺 Surplus")))</f>
        <v/>
      </c>
      <c r="K20" s="18" t="inlineStr">
        <is>
          <t>Spanish latte sweet base</t>
        </is>
      </c>
    </row>
    <row r="21" ht="21" customHeight="1">
      <c r="A21" s="19" t="inlineStr">
        <is>
          <t>ING-010</t>
        </is>
      </c>
      <c r="B21" s="20" t="inlineStr">
        <is>
          <t>Soymilk 1L (Plant-based)</t>
        </is>
      </c>
      <c r="C21" s="21" t="inlineStr">
        <is>
          <t>Pack (1L)</t>
        </is>
      </c>
      <c r="D21" s="22" t="n">
        <v>87.5</v>
      </c>
      <c r="E21" s="23" t="n">
        <v>2</v>
      </c>
      <c r="F21" s="13" t="n"/>
      <c r="G21" s="24">
        <f>IF(ISBLANK(F21), "", F21 - E21)</f>
        <v/>
      </c>
      <c r="H21" s="25">
        <f>IF(ISBLANK(F21), "", G21 * D21)</f>
        <v/>
      </c>
      <c r="I21" s="26">
        <f>IF(ISBLANK(F21), "", F21 * D21)</f>
        <v/>
      </c>
      <c r="J21" s="27">
        <f>IF(ISBLANK(F21), "⏳ Pending", IF(G21=0, "✅ Match", IF(G21&lt;0, "⚠️ Shortage", "🔺 Surplus")))</f>
        <v/>
      </c>
      <c r="K21" s="28" t="inlineStr">
        <is>
          <t>Non-dairy milk substitute</t>
        </is>
      </c>
    </row>
    <row r="22" ht="21" customHeight="1">
      <c r="A22" s="8" t="inlineStr">
        <is>
          <t>ING-011</t>
        </is>
      </c>
      <c r="B22" s="9" t="inlineStr">
        <is>
          <t>Whipping Cream 1L</t>
        </is>
      </c>
      <c r="C22" s="10" t="inlineStr">
        <is>
          <t>Bot (1L)</t>
        </is>
      </c>
      <c r="D22" s="11" t="n">
        <v>250</v>
      </c>
      <c r="E22" s="12" t="n">
        <v>1</v>
      </c>
      <c r="F22" s="13" t="n"/>
      <c r="G22" s="14">
        <f>IF(ISBLANK(F22), "", F22 - E22)</f>
        <v/>
      </c>
      <c r="H22" s="15">
        <f>IF(ISBLANK(F22), "", G22 * D22)</f>
        <v/>
      </c>
      <c r="I22" s="16">
        <f>IF(ISBLANK(F22), "", F22 * D22)</f>
        <v/>
      </c>
      <c r="J22" s="17">
        <f>IF(ISBLANK(F22), "⏳ Pending", IF(G22=0, "✅ Match", IF(G22&lt;0, "⚠️ Shortage", "🔺 Surplus")))</f>
        <v/>
      </c>
      <c r="K22" s="18" t="inlineStr">
        <is>
          <t>Cold foam &amp; sea salt cream topper</t>
        </is>
      </c>
    </row>
    <row r="23" ht="21" customHeight="1">
      <c r="A23" s="19" t="inlineStr">
        <is>
          <t>ING-012</t>
        </is>
      </c>
      <c r="B23" s="20" t="inlineStr">
        <is>
          <t>Artisanal Salted Cream Cheese</t>
        </is>
      </c>
      <c r="C23" s="21" t="inlineStr">
        <is>
          <t>Pack</t>
        </is>
      </c>
      <c r="D23" s="22" t="n">
        <v>200</v>
      </c>
      <c r="E23" s="23" t="n">
        <v>2</v>
      </c>
      <c r="F23" s="13" t="n"/>
      <c r="G23" s="24">
        <f>IF(ISBLANK(F23), "", F23 - E23)</f>
        <v/>
      </c>
      <c r="H23" s="25">
        <f>IF(ISBLANK(F23), "", G23 * D23)</f>
        <v/>
      </c>
      <c r="I23" s="26">
        <f>IF(ISBLANK(F23), "", F23 * D23)</f>
        <v/>
      </c>
      <c r="J23" s="27">
        <f>IF(ISBLANK(F23), "⏳ Pending", IF(G23=0, "✅ Match", IF(G23&lt;0, "⚠️ Shortage", "🔺 Surplus")))</f>
        <v/>
      </c>
      <c r="K23" s="28" t="inlineStr">
        <is>
          <t>Sea salt cheese foam cap</t>
        </is>
      </c>
    </row>
    <row r="24" ht="22" customHeight="1">
      <c r="A24" s="29" t="inlineStr">
        <is>
          <t>Subtotal — Milks &amp; Dairy Supplies:</t>
        </is>
      </c>
      <c r="B24" s="30" t="n"/>
      <c r="C24" s="30" t="n"/>
      <c r="D24" s="30" t="inlineStr"/>
      <c r="E24" s="31">
        <f>SUM(E18:E23)</f>
        <v/>
      </c>
      <c r="F24" s="31">
        <f>SUM(F18:F23)</f>
        <v/>
      </c>
      <c r="G24" s="32">
        <f>SUM(G18:G23)</f>
        <v/>
      </c>
      <c r="H24" s="33">
        <f>SUM(H18:H23)</f>
        <v/>
      </c>
      <c r="I24" s="34">
        <f>SUM(I18:I23)</f>
        <v/>
      </c>
      <c r="J24" s="30" t="inlineStr"/>
      <c r="K24" s="30" t="inlineStr"/>
    </row>
    <row r="26" ht="24" customHeight="1">
      <c r="A26" s="36" t="inlineStr">
        <is>
          <t xml:space="preserve">  🍯  3. FLAVOR SYRUPS, PURÉES &amp; SAUCES</t>
        </is>
      </c>
    </row>
    <row r="27" ht="21" customHeight="1">
      <c r="A27" s="8" t="inlineStr">
        <is>
          <t>SYR-001</t>
        </is>
      </c>
      <c r="B27" s="9" t="inlineStr">
        <is>
          <t>SHOTT Vanilla Syrup 1L</t>
        </is>
      </c>
      <c r="C27" s="10" t="inlineStr">
        <is>
          <t>Bot (1L)</t>
        </is>
      </c>
      <c r="D27" s="11" t="n">
        <v>690</v>
      </c>
      <c r="E27" s="12" t="n">
        <v>0.75</v>
      </c>
      <c r="F27" s="13" t="n"/>
      <c r="G27" s="14">
        <f>IF(ISBLANK(F27), "", F27 - E27)</f>
        <v/>
      </c>
      <c r="H27" s="15">
        <f>IF(ISBLANK(F27), "", G27 * D27)</f>
        <v/>
      </c>
      <c r="I27" s="16">
        <f>IF(ISBLANK(F27), "", F27 * D27)</f>
        <v/>
      </c>
      <c r="J27" s="17">
        <f>IF(ISBLANK(F27), "⏳ Pending", IF(G27=0, "✅ Match", IF(G27&lt;0, "⚠️ Shortage", "🔺 Surplus")))</f>
        <v/>
      </c>
      <c r="K27" s="18" t="inlineStr">
        <is>
          <t>Vanilla Latte &amp; Frappe</t>
        </is>
      </c>
    </row>
    <row r="28" ht="21" customHeight="1">
      <c r="A28" s="19" t="inlineStr">
        <is>
          <t>SYR-002</t>
        </is>
      </c>
      <c r="B28" s="20" t="inlineStr">
        <is>
          <t>SHOTT Caramel Syrup 1L</t>
        </is>
      </c>
      <c r="C28" s="21" t="inlineStr">
        <is>
          <t>Bot (1L)</t>
        </is>
      </c>
      <c r="D28" s="22" t="n">
        <v>690</v>
      </c>
      <c r="E28" s="23" t="n">
        <v>0.2</v>
      </c>
      <c r="F28" s="13" t="n"/>
      <c r="G28" s="24">
        <f>IF(ISBLANK(F28), "", F28 - E28)</f>
        <v/>
      </c>
      <c r="H28" s="25">
        <f>IF(ISBLANK(F28), "", G28 * D28)</f>
        <v/>
      </c>
      <c r="I28" s="26">
        <f>IF(ISBLANK(F28), "", F28 * D28)</f>
        <v/>
      </c>
      <c r="J28" s="27">
        <f>IF(ISBLANK(F28), "⏳ Pending", IF(G28=0, "✅ Match", IF(G28&lt;0, "⚠️ Shortage", "🔺 Surplus")))</f>
        <v/>
      </c>
      <c r="K28" s="28" t="inlineStr">
        <is>
          <t>Caramel Macchiato</t>
        </is>
      </c>
    </row>
    <row r="29" ht="21" customHeight="1">
      <c r="A29" s="8" t="inlineStr">
        <is>
          <t>SYR-003</t>
        </is>
      </c>
      <c r="B29" s="9" t="inlineStr">
        <is>
          <t>SHOTT Macadamia Syrup 1L</t>
        </is>
      </c>
      <c r="C29" s="10" t="inlineStr">
        <is>
          <t>Bot (1L)</t>
        </is>
      </c>
      <c r="D29" s="11" t="n">
        <v>690</v>
      </c>
      <c r="E29" s="12" t="n">
        <v>1</v>
      </c>
      <c r="F29" s="13" t="n"/>
      <c r="G29" s="14">
        <f>IF(ISBLANK(F29), "", F29 - E29)</f>
        <v/>
      </c>
      <c r="H29" s="15">
        <f>IF(ISBLANK(F29), "", G29 * D29)</f>
        <v/>
      </c>
      <c r="I29" s="16">
        <f>IF(ISBLANK(F29), "", F29 * D29)</f>
        <v/>
      </c>
      <c r="J29" s="17">
        <f>IF(ISBLANK(F29), "⏳ Pending", IF(G29=0, "✅ Match", IF(G29&lt;0, "⚠️ Shortage", "🔺 Surplus")))</f>
        <v/>
      </c>
      <c r="K29" s="18" t="inlineStr">
        <is>
          <t>Macadamia Latte</t>
        </is>
      </c>
    </row>
    <row r="30" ht="21" customHeight="1">
      <c r="A30" s="19" t="inlineStr">
        <is>
          <t>SYR-004</t>
        </is>
      </c>
      <c r="B30" s="20" t="inlineStr">
        <is>
          <t>SHOTT Irish Cream Syrup 1L</t>
        </is>
      </c>
      <c r="C30" s="21" t="inlineStr">
        <is>
          <t>Bot (1L)</t>
        </is>
      </c>
      <c r="D30" s="22" t="n">
        <v>690</v>
      </c>
      <c r="E30" s="23" t="n">
        <v>1</v>
      </c>
      <c r="F30" s="13" t="n"/>
      <c r="G30" s="24">
        <f>IF(ISBLANK(F30), "", F30 - E30)</f>
        <v/>
      </c>
      <c r="H30" s="25">
        <f>IF(ISBLANK(F30), "", G30 * D30)</f>
        <v/>
      </c>
      <c r="I30" s="26">
        <f>IF(ISBLANK(F30), "", F30 * D30)</f>
        <v/>
      </c>
      <c r="J30" s="27">
        <f>IF(ISBLANK(F30), "⏳ Pending", IF(G30=0, "✅ Match", IF(G30&lt;0, "⚠️ Shortage", "🔺 Surplus")))</f>
        <v/>
      </c>
      <c r="K30" s="28" t="inlineStr">
        <is>
          <t>Irish Cream Latte</t>
        </is>
      </c>
    </row>
    <row r="31" ht="21" customHeight="1">
      <c r="A31" s="8" t="inlineStr">
        <is>
          <t>SYR-005</t>
        </is>
      </c>
      <c r="B31" s="9" t="inlineStr">
        <is>
          <t>SHOTT Butterscotch Syrup 1L</t>
        </is>
      </c>
      <c r="C31" s="10" t="inlineStr">
        <is>
          <t>Bot (1L)</t>
        </is>
      </c>
      <c r="D31" s="11" t="n">
        <v>690</v>
      </c>
      <c r="E31" s="12" t="n">
        <v>1</v>
      </c>
      <c r="F31" s="13" t="n"/>
      <c r="G31" s="14">
        <f>IF(ISBLANK(F31), "", F31 - E31)</f>
        <v/>
      </c>
      <c r="H31" s="15">
        <f>IF(ISBLANK(F31), "", G31 * D31)</f>
        <v/>
      </c>
      <c r="I31" s="16">
        <f>IF(ISBLANK(F31), "", F31 * D31)</f>
        <v/>
      </c>
      <c r="J31" s="17">
        <f>IF(ISBLANK(F31), "⏳ Pending", IF(G31=0, "✅ Match", IF(G31&lt;0, "⚠️ Shortage", "🔺 Surplus")))</f>
        <v/>
      </c>
      <c r="K31" s="18" t="inlineStr">
        <is>
          <t>Butterscotch Latte</t>
        </is>
      </c>
    </row>
    <row r="32" ht="21" customHeight="1">
      <c r="A32" s="19" t="inlineStr">
        <is>
          <t>SYR-006</t>
        </is>
      </c>
      <c r="B32" s="20" t="inlineStr">
        <is>
          <t>SHOTT White Chocolate Syrup 1L</t>
        </is>
      </c>
      <c r="C32" s="21" t="inlineStr">
        <is>
          <t>Bot (1L)</t>
        </is>
      </c>
      <c r="D32" s="22" t="n">
        <v>690</v>
      </c>
      <c r="E32" s="23" t="n">
        <v>9.84</v>
      </c>
      <c r="F32" s="13" t="n"/>
      <c r="G32" s="24">
        <f>IF(ISBLANK(F32), "", F32 - E32)</f>
        <v/>
      </c>
      <c r="H32" s="25">
        <f>IF(ISBLANK(F32), "", G32 * D32)</f>
        <v/>
      </c>
      <c r="I32" s="26">
        <f>IF(ISBLANK(F32), "", F32 * D32)</f>
        <v/>
      </c>
      <c r="J32" s="27">
        <f>IF(ISBLANK(F32), "⏳ Pending", IF(G32=0, "✅ Match", IF(G32&lt;0, "⚠️ Shortage", "🔺 Surplus")))</f>
        <v/>
      </c>
      <c r="K32" s="28" t="inlineStr">
        <is>
          <t>White Choco Latte &amp; Matcha</t>
        </is>
      </c>
    </row>
    <row r="33" ht="21" customHeight="1">
      <c r="A33" s="8" t="inlineStr">
        <is>
          <t>SYR-007</t>
        </is>
      </c>
      <c r="B33" s="9" t="inlineStr">
        <is>
          <t>SHOTT Pink Guava Syrup 1L</t>
        </is>
      </c>
      <c r="C33" s="10" t="inlineStr">
        <is>
          <t>Bot (1L)</t>
        </is>
      </c>
      <c r="D33" s="11" t="n">
        <v>890</v>
      </c>
      <c r="E33" s="12" t="n">
        <v>1</v>
      </c>
      <c r="F33" s="13" t="n"/>
      <c r="G33" s="14">
        <f>IF(ISBLANK(F33), "", F33 - E33)</f>
        <v/>
      </c>
      <c r="H33" s="15">
        <f>IF(ISBLANK(F33), "", G33 * D33)</f>
        <v/>
      </c>
      <c r="I33" s="16">
        <f>IF(ISBLANK(F33), "", F33 * D33)</f>
        <v/>
      </c>
      <c r="J33" s="17">
        <f>IF(ISBLANK(F33), "⏳ Pending", IF(G33=0, "✅ Match", IF(G33&lt;0, "⚠️ Shortage", "🔺 Surplus")))</f>
        <v/>
      </c>
      <c r="K33" s="18" t="inlineStr">
        <is>
          <t>Guava Fruit Tea &amp; Soda</t>
        </is>
      </c>
    </row>
    <row r="34" ht="21" customHeight="1">
      <c r="A34" s="19" t="inlineStr">
        <is>
          <t>SYR-008</t>
        </is>
      </c>
      <c r="B34" s="20" t="inlineStr">
        <is>
          <t>SHOTT Mango Syrup 1L</t>
        </is>
      </c>
      <c r="C34" s="21" t="inlineStr">
        <is>
          <t>Bot (1L)</t>
        </is>
      </c>
      <c r="D34" s="22" t="n">
        <v>890</v>
      </c>
      <c r="E34" s="23" t="n">
        <v>0.25</v>
      </c>
      <c r="F34" s="13" t="n"/>
      <c r="G34" s="24">
        <f>IF(ISBLANK(F34), "", F34 - E34)</f>
        <v/>
      </c>
      <c r="H34" s="25">
        <f>IF(ISBLANK(F34), "", G34 * D34)</f>
        <v/>
      </c>
      <c r="I34" s="26">
        <f>IF(ISBLANK(F34), "", F34 * D34)</f>
        <v/>
      </c>
      <c r="J34" s="27">
        <f>IF(ISBLANK(F34), "⏳ Pending", IF(G34=0, "✅ Match", IF(G34&lt;0, "⚠️ Shortage", "🔺 Surplus")))</f>
        <v/>
      </c>
      <c r="K34" s="28" t="inlineStr">
        <is>
          <t>Mango Tea &amp; Soda</t>
        </is>
      </c>
    </row>
    <row r="35" ht="21" customHeight="1">
      <c r="A35" s="8" t="inlineStr">
        <is>
          <t>SYR-009</t>
        </is>
      </c>
      <c r="B35" s="9" t="inlineStr">
        <is>
          <t>SHOTT Pomegranate Syrup 1L</t>
        </is>
      </c>
      <c r="C35" s="10" t="inlineStr">
        <is>
          <t>Bot (1L)</t>
        </is>
      </c>
      <c r="D35" s="11" t="n">
        <v>890</v>
      </c>
      <c r="E35" s="12" t="n">
        <v>0.37</v>
      </c>
      <c r="F35" s="13" t="n"/>
      <c r="G35" s="14">
        <f>IF(ISBLANK(F35), "", F35 - E35)</f>
        <v/>
      </c>
      <c r="H35" s="15">
        <f>IF(ISBLANK(F35), "", G35 * D35)</f>
        <v/>
      </c>
      <c r="I35" s="16">
        <f>IF(ISBLANK(F35), "", F35 * D35)</f>
        <v/>
      </c>
      <c r="J35" s="17">
        <f>IF(ISBLANK(F35), "⏳ Pending", IF(G35=0, "✅ Match", IF(G35&lt;0, "⚠️ Shortage", "🔺 Surplus")))</f>
        <v/>
      </c>
      <c r="K35" s="18" t="inlineStr">
        <is>
          <t>Pomegranate Tea &amp; Soda</t>
        </is>
      </c>
    </row>
    <row r="36" ht="21" customHeight="1">
      <c r="A36" s="19" t="inlineStr">
        <is>
          <t>SYR-010</t>
        </is>
      </c>
      <c r="B36" s="20" t="inlineStr">
        <is>
          <t>SHOTT Lychee Syrup 1L</t>
        </is>
      </c>
      <c r="C36" s="21" t="inlineStr">
        <is>
          <t>Bot (1L)</t>
        </is>
      </c>
      <c r="D36" s="22" t="n">
        <v>690</v>
      </c>
      <c r="E36" s="23" t="n">
        <v>0.83</v>
      </c>
      <c r="F36" s="13" t="n"/>
      <c r="G36" s="24">
        <f>IF(ISBLANK(F36), "", F36 - E36)</f>
        <v/>
      </c>
      <c r="H36" s="25">
        <f>IF(ISBLANK(F36), "", G36 * D36)</f>
        <v/>
      </c>
      <c r="I36" s="26">
        <f>IF(ISBLANK(F36), "", F36 * D36)</f>
        <v/>
      </c>
      <c r="J36" s="27">
        <f>IF(ISBLANK(F36), "⏳ Pending", IF(G36=0, "✅ Match", IF(G36&lt;0, "⚠️ Shortage", "🔺 Surplus")))</f>
        <v/>
      </c>
      <c r="K36" s="28" t="inlineStr">
        <is>
          <t>Lychee Tea &amp; Soda</t>
        </is>
      </c>
    </row>
    <row r="37" ht="21" customHeight="1">
      <c r="A37" s="8" t="inlineStr">
        <is>
          <t>SYR-011</t>
        </is>
      </c>
      <c r="B37" s="9" t="inlineStr">
        <is>
          <t>Torani Salted Caramel Syrup 750ml</t>
        </is>
      </c>
      <c r="C37" s="10" t="inlineStr">
        <is>
          <t>Bot (750ml)</t>
        </is>
      </c>
      <c r="D37" s="11" t="n">
        <v>550</v>
      </c>
      <c r="E37" s="12" t="n">
        <v>1</v>
      </c>
      <c r="F37" s="13" t="n"/>
      <c r="G37" s="14">
        <f>IF(ISBLANK(F37), "", F37 - E37)</f>
        <v/>
      </c>
      <c r="H37" s="15">
        <f>IF(ISBLANK(F37), "", G37 * D37)</f>
        <v/>
      </c>
      <c r="I37" s="16">
        <f>IF(ISBLANK(F37), "", F37 * D37)</f>
        <v/>
      </c>
      <c r="J37" s="17">
        <f>IF(ISBLANK(F37), "⏳ Pending", IF(G37=0, "✅ Match", IF(G37&lt;0, "⚠️ Shortage", "🔺 Surplus")))</f>
        <v/>
      </c>
      <c r="K37" s="18" t="inlineStr">
        <is>
          <t>Secondary caramel syrup</t>
        </is>
      </c>
    </row>
    <row r="38" ht="21" customHeight="1">
      <c r="A38" s="19" t="inlineStr">
        <is>
          <t>SYR-012</t>
        </is>
      </c>
      <c r="B38" s="20" t="inlineStr">
        <is>
          <t>Torani Macadamia Nut Syrup 750ml</t>
        </is>
      </c>
      <c r="C38" s="21" t="inlineStr">
        <is>
          <t>Bot (750ml)</t>
        </is>
      </c>
      <c r="D38" s="22" t="n">
        <v>550</v>
      </c>
      <c r="E38" s="23" t="n">
        <v>1</v>
      </c>
      <c r="F38" s="13" t="n"/>
      <c r="G38" s="24">
        <f>IF(ISBLANK(F38), "", F38 - E38)</f>
        <v/>
      </c>
      <c r="H38" s="25">
        <f>IF(ISBLANK(F38), "", G38 * D38)</f>
        <v/>
      </c>
      <c r="I38" s="26">
        <f>IF(ISBLANK(F38), "", F38 * D38)</f>
        <v/>
      </c>
      <c r="J38" s="27">
        <f>IF(ISBLANK(F38), "⏳ Pending", IF(G38=0, "✅ Match", IF(G38&lt;0, "⚠️ Shortage", "🔺 Surplus")))</f>
        <v/>
      </c>
      <c r="K38" s="28" t="inlineStr">
        <is>
          <t>Nutty espresso drinks</t>
        </is>
      </c>
    </row>
    <row r="39" ht="21" customHeight="1">
      <c r="A39" s="8" t="inlineStr">
        <is>
          <t>SYR-013</t>
        </is>
      </c>
      <c r="B39" s="9" t="inlineStr">
        <is>
          <t>Torani Lychee Syrup 750ml</t>
        </is>
      </c>
      <c r="C39" s="10" t="inlineStr">
        <is>
          <t>Bot (750ml)</t>
        </is>
      </c>
      <c r="D39" s="11" t="n">
        <v>550</v>
      </c>
      <c r="E39" s="12" t="n">
        <v>1</v>
      </c>
      <c r="F39" s="13" t="n"/>
      <c r="G39" s="14">
        <f>IF(ISBLANK(F39), "", F39 - E39)</f>
        <v/>
      </c>
      <c r="H39" s="15">
        <f>IF(ISBLANK(F39), "", G39 * D39)</f>
        <v/>
      </c>
      <c r="I39" s="16">
        <f>IF(ISBLANK(F39), "", F39 * D39)</f>
        <v/>
      </c>
      <c r="J39" s="17">
        <f>IF(ISBLANK(F39), "⏳ Pending", IF(G39=0, "✅ Match", IF(G39&lt;0, "⚠️ Shortage", "🔺 Surplus")))</f>
        <v/>
      </c>
      <c r="K39" s="18" t="inlineStr">
        <is>
          <t>Fruit soda / iced tea</t>
        </is>
      </c>
    </row>
    <row r="40" ht="21" customHeight="1">
      <c r="A40" s="19" t="inlineStr">
        <is>
          <t>SYR-014</t>
        </is>
      </c>
      <c r="B40" s="20" t="inlineStr">
        <is>
          <t>Torani Pomegranate Syrup 750ml</t>
        </is>
      </c>
      <c r="C40" s="21" t="inlineStr">
        <is>
          <t>Bot (750ml)</t>
        </is>
      </c>
      <c r="D40" s="22" t="n">
        <v>550</v>
      </c>
      <c r="E40" s="23" t="n">
        <v>1</v>
      </c>
      <c r="F40" s="13" t="n"/>
      <c r="G40" s="24">
        <f>IF(ISBLANK(F40), "", F40 - E40)</f>
        <v/>
      </c>
      <c r="H40" s="25">
        <f>IF(ISBLANK(F40), "", G40 * D40)</f>
        <v/>
      </c>
      <c r="I40" s="26">
        <f>IF(ISBLANK(F40), "", F40 * D40)</f>
        <v/>
      </c>
      <c r="J40" s="27">
        <f>IF(ISBLANK(F40), "⏳ Pending", IF(G40=0, "✅ Match", IF(G40&lt;0, "⚠️ Shortage", "🔺 Surplus")))</f>
        <v/>
      </c>
      <c r="K40" s="28" t="inlineStr">
        <is>
          <t>Fruit soda / iced tea</t>
        </is>
      </c>
    </row>
    <row r="41" ht="21" customHeight="1">
      <c r="A41" s="8" t="inlineStr">
        <is>
          <t>SYR-015</t>
        </is>
      </c>
      <c r="B41" s="9" t="inlineStr">
        <is>
          <t>Torani Mango Puree Blend 1.89L</t>
        </is>
      </c>
      <c r="C41" s="10" t="inlineStr">
        <is>
          <t>Gal (1.89L)</t>
        </is>
      </c>
      <c r="D41" s="11" t="n">
        <v>950</v>
      </c>
      <c r="E41" s="12" t="n">
        <v>1</v>
      </c>
      <c r="F41" s="13" t="n"/>
      <c r="G41" s="14">
        <f>IF(ISBLANK(F41), "", F41 - E41)</f>
        <v/>
      </c>
      <c r="H41" s="15">
        <f>IF(ISBLANK(F41), "", G41 * D41)</f>
        <v/>
      </c>
      <c r="I41" s="16">
        <f>IF(ISBLANK(F41), "", F41 * D41)</f>
        <v/>
      </c>
      <c r="J41" s="17">
        <f>IF(ISBLANK(F41), "⏳ Pending", IF(G41=0, "✅ Match", IF(G41&lt;0, "⚠️ Shortage", "🔺 Surplus")))</f>
        <v/>
      </c>
      <c r="K41" s="18" t="inlineStr">
        <is>
          <t>Specialty puree &amp; smoothies</t>
        </is>
      </c>
    </row>
    <row r="42" ht="21" customHeight="1">
      <c r="A42" s="19" t="inlineStr">
        <is>
          <t>SYR-016</t>
        </is>
      </c>
      <c r="B42" s="20" t="inlineStr">
        <is>
          <t>Torani Strawberry Puree Blend 1.89L</t>
        </is>
      </c>
      <c r="C42" s="21" t="inlineStr">
        <is>
          <t>Gal (1.89L)</t>
        </is>
      </c>
      <c r="D42" s="22" t="n">
        <v>950</v>
      </c>
      <c r="E42" s="23" t="n">
        <v>1</v>
      </c>
      <c r="F42" s="13" t="n"/>
      <c r="G42" s="24">
        <f>IF(ISBLANK(F42), "", F42 - E42)</f>
        <v/>
      </c>
      <c r="H42" s="25">
        <f>IF(ISBLANK(F42), "", G42 * D42)</f>
        <v/>
      </c>
      <c r="I42" s="26">
        <f>IF(ISBLANK(F42), "", F42 * D42)</f>
        <v/>
      </c>
      <c r="J42" s="27">
        <f>IF(ISBLANK(F42), "⏳ Pending", IF(G42=0, "✅ Match", IF(G42&lt;0, "⚠️ Shortage", "🔺 Surplus")))</f>
        <v/>
      </c>
      <c r="K42" s="28" t="inlineStr">
        <is>
          <t>Specialty puree &amp; smoothies</t>
        </is>
      </c>
    </row>
    <row r="43" ht="21" customHeight="1">
      <c r="A43" s="8" t="inlineStr">
        <is>
          <t>SYR-017</t>
        </is>
      </c>
      <c r="B43" s="9" t="inlineStr">
        <is>
          <t>French Vanilla Syrup 750ml</t>
        </is>
      </c>
      <c r="C43" s="10" t="inlineStr">
        <is>
          <t>Bot (750ml)</t>
        </is>
      </c>
      <c r="D43" s="11" t="n">
        <v>550</v>
      </c>
      <c r="E43" s="12" t="n">
        <v>1</v>
      </c>
      <c r="F43" s="13" t="n"/>
      <c r="G43" s="14">
        <f>IF(ISBLANK(F43), "", F43 - E43)</f>
        <v/>
      </c>
      <c r="H43" s="15">
        <f>IF(ISBLANK(F43), "", G43 * D43)</f>
        <v/>
      </c>
      <c r="I43" s="16">
        <f>IF(ISBLANK(F43), "", F43 * D43)</f>
        <v/>
      </c>
      <c r="J43" s="17">
        <f>IF(ISBLANK(F43), "⏳ Pending", IF(G43=0, "✅ Match", IF(G43&lt;0, "⚠️ Shortage", "🔺 Surplus")))</f>
        <v/>
      </c>
      <c r="K43" s="18" t="inlineStr">
        <is>
          <t>French Vanilla Coffee</t>
        </is>
      </c>
    </row>
    <row r="44" ht="21" customHeight="1">
      <c r="A44" s="19" t="inlineStr">
        <is>
          <t>SYR-018</t>
        </is>
      </c>
      <c r="B44" s="20" t="inlineStr">
        <is>
          <t>Hazelnut Syrup 750ml</t>
        </is>
      </c>
      <c r="C44" s="21" t="inlineStr">
        <is>
          <t>Bot (750ml)</t>
        </is>
      </c>
      <c r="D44" s="22" t="n">
        <v>550</v>
      </c>
      <c r="E44" s="23" t="n">
        <v>1</v>
      </c>
      <c r="F44" s="13" t="n"/>
      <c r="G44" s="24">
        <f>IF(ISBLANK(F44), "", F44 - E44)</f>
        <v/>
      </c>
      <c r="H44" s="25">
        <f>IF(ISBLANK(F44), "", G44 * D44)</f>
        <v/>
      </c>
      <c r="I44" s="26">
        <f>IF(ISBLANK(F44), "", F44 * D44)</f>
        <v/>
      </c>
      <c r="J44" s="27">
        <f>IF(ISBLANK(F44), "⏳ Pending", IF(G44=0, "✅ Match", IF(G44&lt;0, "⚠️ Shortage", "🔺 Surplus")))</f>
        <v/>
      </c>
      <c r="K44" s="28" t="inlineStr">
        <is>
          <t>Hazelnut Latte</t>
        </is>
      </c>
    </row>
    <row r="45" ht="21" customHeight="1">
      <c r="A45" s="8" t="inlineStr">
        <is>
          <t>SYR-019</t>
        </is>
      </c>
      <c r="B45" s="9" t="inlineStr">
        <is>
          <t>Irish Cream Syrup 750ml</t>
        </is>
      </c>
      <c r="C45" s="10" t="inlineStr">
        <is>
          <t>Bot (750ml)</t>
        </is>
      </c>
      <c r="D45" s="11" t="n">
        <v>550</v>
      </c>
      <c r="E45" s="12" t="n">
        <v>1</v>
      </c>
      <c r="F45" s="13" t="n"/>
      <c r="G45" s="14">
        <f>IF(ISBLANK(F45), "", F45 - E45)</f>
        <v/>
      </c>
      <c r="H45" s="15">
        <f>IF(ISBLANK(F45), "", G45 * D45)</f>
        <v/>
      </c>
      <c r="I45" s="16">
        <f>IF(ISBLANK(F45), "", F45 * D45)</f>
        <v/>
      </c>
      <c r="J45" s="17">
        <f>IF(ISBLANK(F45), "⏳ Pending", IF(G45=0, "✅ Match", IF(G45&lt;0, "⚠️ Shortage", "🔺 Surplus")))</f>
        <v/>
      </c>
      <c r="K45" s="18" t="inlineStr">
        <is>
          <t>Specialty flavor</t>
        </is>
      </c>
    </row>
    <row r="46" ht="22" customHeight="1">
      <c r="A46" s="29" t="inlineStr">
        <is>
          <t>Subtotal — Flavor Syrups, Purées &amp; Sauces:</t>
        </is>
      </c>
      <c r="B46" s="30" t="n"/>
      <c r="C46" s="30" t="n"/>
      <c r="D46" s="30" t="inlineStr"/>
      <c r="E46" s="31">
        <f>SUM(E27:E45)</f>
        <v/>
      </c>
      <c r="F46" s="31">
        <f>SUM(F27:F45)</f>
        <v/>
      </c>
      <c r="G46" s="32">
        <f>SUM(G27:G45)</f>
        <v/>
      </c>
      <c r="H46" s="33">
        <f>SUM(H27:H45)</f>
        <v/>
      </c>
      <c r="I46" s="34">
        <f>SUM(I27:I45)</f>
        <v/>
      </c>
      <c r="J46" s="30" t="inlineStr"/>
      <c r="K46" s="30" t="inlineStr"/>
    </row>
    <row r="48" ht="24" customHeight="1">
      <c r="A48" s="37" t="inlineStr">
        <is>
          <t xml:space="preserve">  🍵  4. MATCHA &amp; SPECIALTY TEAS</t>
        </is>
      </c>
    </row>
    <row r="49" ht="21" customHeight="1">
      <c r="A49" s="8" t="inlineStr">
        <is>
          <t>TEA-001</t>
        </is>
      </c>
      <c r="B49" s="9" t="inlineStr">
        <is>
          <t>Matcha Powder 1kg (Culinary Grade)</t>
        </is>
      </c>
      <c r="C49" s="10" t="inlineStr">
        <is>
          <t>Pack (1kg)</t>
        </is>
      </c>
      <c r="D49" s="11" t="n">
        <v>1200</v>
      </c>
      <c r="E49" s="12" t="n">
        <v>0.87</v>
      </c>
      <c r="F49" s="13" t="n"/>
      <c r="G49" s="14">
        <f>IF(ISBLANK(F49), "", F49 - E49)</f>
        <v/>
      </c>
      <c r="H49" s="15">
        <f>IF(ISBLANK(F49), "", G49 * D49)</f>
        <v/>
      </c>
      <c r="I49" s="16">
        <f>IF(ISBLANK(F49), "", F49 * D49)</f>
        <v/>
      </c>
      <c r="J49" s="17">
        <f>IF(ISBLANK(F49), "⏳ Pending", IF(G49=0, "✅ Match", IF(G49&lt;0, "⚠️ Shortage", "🔺 Surplus")))</f>
        <v/>
      </c>
      <c r="K49" s="18" t="inlineStr">
        <is>
          <t>Matcha Latte &amp; Seasalt</t>
        </is>
      </c>
    </row>
    <row r="50" ht="21" customHeight="1">
      <c r="A50" s="19" t="inlineStr">
        <is>
          <t>TEA-002</t>
        </is>
      </c>
      <c r="B50" s="20" t="inlineStr">
        <is>
          <t>Easy Matcha Pure Powder 100g</t>
        </is>
      </c>
      <c r="C50" s="21" t="inlineStr">
        <is>
          <t>Pack (100g)</t>
        </is>
      </c>
      <c r="D50" s="22" t="n">
        <v>210</v>
      </c>
      <c r="E50" s="23" t="n">
        <v>3</v>
      </c>
      <c r="F50" s="13" t="n"/>
      <c r="G50" s="24">
        <f>IF(ISBLANK(F50), "", F50 - E50)</f>
        <v/>
      </c>
      <c r="H50" s="25">
        <f>IF(ISBLANK(F50), "", G50 * D50)</f>
        <v/>
      </c>
      <c r="I50" s="26">
        <f>IF(ISBLANK(F50), "", F50 * D50)</f>
        <v/>
      </c>
      <c r="J50" s="27">
        <f>IF(ISBLANK(F50), "⏳ Pending", IF(G50=0, "✅ Match", IF(G50&lt;0, "⚠️ Shortage", "🔺 Surplus")))</f>
        <v/>
      </c>
      <c r="K50" s="28" t="inlineStr">
        <is>
          <t>Ceremonial / pure grade</t>
        </is>
      </c>
    </row>
    <row r="51" ht="21" customHeight="1">
      <c r="A51" s="8" t="inlineStr">
        <is>
          <t>TEA-003</t>
        </is>
      </c>
      <c r="B51" s="9" t="inlineStr">
        <is>
          <t>Possmei Jasmine Green Tea Leaves 600g</t>
        </is>
      </c>
      <c r="C51" s="10" t="inlineStr">
        <is>
          <t>Pack (600g)</t>
        </is>
      </c>
      <c r="D51" s="11" t="n">
        <v>768</v>
      </c>
      <c r="E51" s="12" t="n">
        <v>1</v>
      </c>
      <c r="F51" s="13" t="n"/>
      <c r="G51" s="14">
        <f>IF(ISBLANK(F51), "", F51 - E51)</f>
        <v/>
      </c>
      <c r="H51" s="15">
        <f>IF(ISBLANK(F51), "", G51 * D51)</f>
        <v/>
      </c>
      <c r="I51" s="16">
        <f>IF(ISBLANK(F51), "", F51 * D51)</f>
        <v/>
      </c>
      <c r="J51" s="17">
        <f>IF(ISBLANK(F51), "⏳ Pending", IF(G51=0, "✅ Match", IF(G51&lt;0, "⚠️ Shortage", "🔺 Surplus")))</f>
        <v/>
      </c>
      <c r="K51" s="18" t="inlineStr">
        <is>
          <t>Premium tea brewing</t>
        </is>
      </c>
    </row>
    <row r="52" ht="21" customHeight="1">
      <c r="A52" s="19" t="inlineStr">
        <is>
          <t>TEA-004</t>
        </is>
      </c>
      <c r="B52" s="20" t="inlineStr">
        <is>
          <t>Possmei Assam Black Tea Leaves 600g</t>
        </is>
      </c>
      <c r="C52" s="21" t="inlineStr">
        <is>
          <t>Pack (600g)</t>
        </is>
      </c>
      <c r="D52" s="22" t="n">
        <v>440</v>
      </c>
      <c r="E52" s="23" t="n">
        <v>1</v>
      </c>
      <c r="F52" s="13" t="n"/>
      <c r="G52" s="24">
        <f>IF(ISBLANK(F52), "", F52 - E52)</f>
        <v/>
      </c>
      <c r="H52" s="25">
        <f>IF(ISBLANK(F52), "", G52 * D52)</f>
        <v/>
      </c>
      <c r="I52" s="26">
        <f>IF(ISBLANK(F52), "", F52 * D52)</f>
        <v/>
      </c>
      <c r="J52" s="27">
        <f>IF(ISBLANK(F52), "⏳ Pending", IF(G52=0, "✅ Match", IF(G52&lt;0, "⚠️ Shortage", "🔺 Surplus")))</f>
        <v/>
      </c>
      <c r="K52" s="28" t="inlineStr">
        <is>
          <t>Premium black tea brewing</t>
        </is>
      </c>
    </row>
    <row r="53" ht="21" customHeight="1">
      <c r="A53" s="8" t="inlineStr">
        <is>
          <t>TEA-005</t>
        </is>
      </c>
      <c r="B53" s="9" t="inlineStr">
        <is>
          <t>Jasmine Tea Leaves 1kg</t>
        </is>
      </c>
      <c r="C53" s="10" t="inlineStr">
        <is>
          <t>Pack (1kg)</t>
        </is>
      </c>
      <c r="D53" s="11" t="n">
        <v>400</v>
      </c>
      <c r="E53" s="12" t="n">
        <v>0.92</v>
      </c>
      <c r="F53" s="13" t="n"/>
      <c r="G53" s="14">
        <f>IF(ISBLANK(F53), "", F53 - E53)</f>
        <v/>
      </c>
      <c r="H53" s="15">
        <f>IF(ISBLANK(F53), "", G53 * D53)</f>
        <v/>
      </c>
      <c r="I53" s="16">
        <f>IF(ISBLANK(F53), "", F53 * D53)</f>
        <v/>
      </c>
      <c r="J53" s="17">
        <f>IF(ISBLANK(F53), "⏳ Pending", IF(G53=0, "✅ Match", IF(G53&lt;0, "⚠️ Shortage", "🔺 Surplus")))</f>
        <v/>
      </c>
      <c r="K53" s="18" t="inlineStr">
        <is>
          <t>Bulk brewed jasmine tea</t>
        </is>
      </c>
    </row>
    <row r="54" ht="21" customHeight="1">
      <c r="A54" s="19" t="inlineStr">
        <is>
          <t>TEA-006</t>
        </is>
      </c>
      <c r="B54" s="20" t="inlineStr">
        <is>
          <t>Black Tea Leaves 1kg</t>
        </is>
      </c>
      <c r="C54" s="21" t="inlineStr">
        <is>
          <t>Pack (1kg)</t>
        </is>
      </c>
      <c r="D54" s="22" t="n">
        <v>400</v>
      </c>
      <c r="E54" s="23" t="n">
        <v>0.98</v>
      </c>
      <c r="F54" s="13" t="n"/>
      <c r="G54" s="24">
        <f>IF(ISBLANK(F54), "", F54 - E54)</f>
        <v/>
      </c>
      <c r="H54" s="25">
        <f>IF(ISBLANK(F54), "", G54 * D54)</f>
        <v/>
      </c>
      <c r="I54" s="26">
        <f>IF(ISBLANK(F54), "", F54 * D54)</f>
        <v/>
      </c>
      <c r="J54" s="27">
        <f>IF(ISBLANK(F54), "⏳ Pending", IF(G54=0, "✅ Match", IF(G54&lt;0, "⚠️ Shortage", "🔺 Surplus")))</f>
        <v/>
      </c>
      <c r="K54" s="28" t="inlineStr">
        <is>
          <t>Bulk brewed black tea</t>
        </is>
      </c>
    </row>
    <row r="55" ht="21" customHeight="1">
      <c r="A55" s="8" t="inlineStr">
        <is>
          <t>TEA-007</t>
        </is>
      </c>
      <c r="B55" s="9" t="inlineStr">
        <is>
          <t>Dilmah Earl Grey Tea Bags</t>
        </is>
      </c>
      <c r="C55" s="10" t="inlineStr">
        <is>
          <t>Bag / Sachet</t>
        </is>
      </c>
      <c r="D55" s="11" t="n">
        <v>45</v>
      </c>
      <c r="E55" s="12" t="n">
        <v>91</v>
      </c>
      <c r="F55" s="13" t="n"/>
      <c r="G55" s="14">
        <f>IF(ISBLANK(F55), "", F55 - E55)</f>
        <v/>
      </c>
      <c r="H55" s="15">
        <f>IF(ISBLANK(F55), "", G55 * D55)</f>
        <v/>
      </c>
      <c r="I55" s="16">
        <f>IF(ISBLANK(F55), "", F55 * D55)</f>
        <v/>
      </c>
      <c r="J55" s="17">
        <f>IF(ISBLANK(F55), "⏳ Pending", IF(G55=0, "✅ Match", IF(G55&lt;0, "⚠️ Shortage", "🔺 Surplus")))</f>
        <v/>
      </c>
      <c r="K55" s="18" t="inlineStr">
        <is>
          <t>Hot brewed specialty tea</t>
        </is>
      </c>
    </row>
    <row r="56" ht="21" customHeight="1">
      <c r="A56" s="19" t="inlineStr">
        <is>
          <t>TEA-008</t>
        </is>
      </c>
      <c r="B56" s="20" t="inlineStr">
        <is>
          <t>Dilmah Gourmet Green Tea Bags</t>
        </is>
      </c>
      <c r="C56" s="21" t="inlineStr">
        <is>
          <t>Bag / Sachet</t>
        </is>
      </c>
      <c r="D56" s="22" t="n">
        <v>45</v>
      </c>
      <c r="E56" s="23" t="n">
        <v>100</v>
      </c>
      <c r="F56" s="13" t="n"/>
      <c r="G56" s="24">
        <f>IF(ISBLANK(F56), "", F56 - E56)</f>
        <v/>
      </c>
      <c r="H56" s="25">
        <f>IF(ISBLANK(F56), "", G56 * D56)</f>
        <v/>
      </c>
      <c r="I56" s="26">
        <f>IF(ISBLANK(F56), "", F56 * D56)</f>
        <v/>
      </c>
      <c r="J56" s="27">
        <f>IF(ISBLANK(F56), "⏳ Pending", IF(G56=0, "✅ Match", IF(G56&lt;0, "⚠️ Shortage", "🔺 Surplus")))</f>
        <v/>
      </c>
      <c r="K56" s="28" t="inlineStr">
        <is>
          <t>Hot brewed specialty tea</t>
        </is>
      </c>
    </row>
    <row r="57" ht="21" customHeight="1">
      <c r="A57" s="8" t="inlineStr">
        <is>
          <t>TEA-009</t>
        </is>
      </c>
      <c r="B57" s="9" t="inlineStr">
        <is>
          <t>Dilmah Green Tea with Jasmine Bags</t>
        </is>
      </c>
      <c r="C57" s="10" t="inlineStr">
        <is>
          <t>Bag / Sachet</t>
        </is>
      </c>
      <c r="D57" s="11" t="n">
        <v>45</v>
      </c>
      <c r="E57" s="12" t="n">
        <v>100</v>
      </c>
      <c r="F57" s="13" t="n"/>
      <c r="G57" s="14">
        <f>IF(ISBLANK(F57), "", F57 - E57)</f>
        <v/>
      </c>
      <c r="H57" s="15">
        <f>IF(ISBLANK(F57), "", G57 * D57)</f>
        <v/>
      </c>
      <c r="I57" s="16">
        <f>IF(ISBLANK(F57), "", F57 * D57)</f>
        <v/>
      </c>
      <c r="J57" s="17">
        <f>IF(ISBLANK(F57), "⏳ Pending", IF(G57=0, "✅ Match", IF(G57&lt;0, "⚠️ Shortage", "🔺 Surplus")))</f>
        <v/>
      </c>
      <c r="K57" s="18" t="inlineStr">
        <is>
          <t>Hot brewed specialty tea</t>
        </is>
      </c>
    </row>
    <row r="58" ht="21" customHeight="1">
      <c r="A58" s="19" t="inlineStr">
        <is>
          <t>TEA-010</t>
        </is>
      </c>
      <c r="B58" s="20" t="inlineStr">
        <is>
          <t>Dilmah Pure Camomile Flowers Bags</t>
        </is>
      </c>
      <c r="C58" s="21" t="inlineStr">
        <is>
          <t>Bag / Sachet</t>
        </is>
      </c>
      <c r="D58" s="22" t="n">
        <v>45</v>
      </c>
      <c r="E58" s="23" t="n">
        <v>100</v>
      </c>
      <c r="F58" s="13" t="n"/>
      <c r="G58" s="24">
        <f>IF(ISBLANK(F58), "", F58 - E58)</f>
        <v/>
      </c>
      <c r="H58" s="25">
        <f>IF(ISBLANK(F58), "", G58 * D58)</f>
        <v/>
      </c>
      <c r="I58" s="26">
        <f>IF(ISBLANK(F58), "", F58 * D58)</f>
        <v/>
      </c>
      <c r="J58" s="27">
        <f>IF(ISBLANK(F58), "⏳ Pending", IF(G58=0, "✅ Match", IF(G58&lt;0, "⚠️ Shortage", "🔺 Surplus")))</f>
        <v/>
      </c>
      <c r="K58" s="28" t="inlineStr">
        <is>
          <t>Hot brewed herbal tea</t>
        </is>
      </c>
    </row>
    <row r="59" ht="21" customHeight="1">
      <c r="A59" s="8" t="inlineStr">
        <is>
          <t>TEA-011</t>
        </is>
      </c>
      <c r="B59" s="9" t="inlineStr">
        <is>
          <t>Dilmah Pure Peppermint Leaves Bags</t>
        </is>
      </c>
      <c r="C59" s="10" t="inlineStr">
        <is>
          <t>Bag / Sachet</t>
        </is>
      </c>
      <c r="D59" s="11" t="n">
        <v>45</v>
      </c>
      <c r="E59" s="12" t="n">
        <v>98</v>
      </c>
      <c r="F59" s="13" t="n"/>
      <c r="G59" s="14">
        <f>IF(ISBLANK(F59), "", F59 - E59)</f>
        <v/>
      </c>
      <c r="H59" s="15">
        <f>IF(ISBLANK(F59), "", G59 * D59)</f>
        <v/>
      </c>
      <c r="I59" s="16">
        <f>IF(ISBLANK(F59), "", F59 * D59)</f>
        <v/>
      </c>
      <c r="J59" s="17">
        <f>IF(ISBLANK(F59), "⏳ Pending", IF(G59=0, "✅ Match", IF(G59&lt;0, "⚠️ Shortage", "🔺 Surplus")))</f>
        <v/>
      </c>
      <c r="K59" s="18" t="inlineStr">
        <is>
          <t>Hot brewed herbal tea</t>
        </is>
      </c>
    </row>
    <row r="60" ht="21" customHeight="1">
      <c r="A60" s="19" t="inlineStr">
        <is>
          <t>TEA-012</t>
        </is>
      </c>
      <c r="B60" s="20" t="inlineStr">
        <is>
          <t>Dilmah Traditional Oolong Tea Bags</t>
        </is>
      </c>
      <c r="C60" s="21" t="inlineStr">
        <is>
          <t>Bag / Sachet</t>
        </is>
      </c>
      <c r="D60" s="22" t="n">
        <v>45</v>
      </c>
      <c r="E60" s="23" t="n">
        <v>100</v>
      </c>
      <c r="F60" s="13" t="n"/>
      <c r="G60" s="24">
        <f>IF(ISBLANK(F60), "", F60 - E60)</f>
        <v/>
      </c>
      <c r="H60" s="25">
        <f>IF(ISBLANK(F60), "", G60 * D60)</f>
        <v/>
      </c>
      <c r="I60" s="26">
        <f>IF(ISBLANK(F60), "", F60 * D60)</f>
        <v/>
      </c>
      <c r="J60" s="27">
        <f>IF(ISBLANK(F60), "⏳ Pending", IF(G60=0, "✅ Match", IF(G60&lt;0, "⚠️ Shortage", "🔺 Surplus")))</f>
        <v/>
      </c>
      <c r="K60" s="28" t="inlineStr">
        <is>
          <t>Hot brewed specialty tea</t>
        </is>
      </c>
    </row>
    <row r="61" ht="22" customHeight="1">
      <c r="A61" s="29" t="inlineStr">
        <is>
          <t>Subtotal — Matcha &amp; Specialty Teas:</t>
        </is>
      </c>
      <c r="B61" s="30" t="n"/>
      <c r="C61" s="30" t="n"/>
      <c r="D61" s="30" t="inlineStr"/>
      <c r="E61" s="31">
        <f>SUM(E49:E60)</f>
        <v/>
      </c>
      <c r="F61" s="31">
        <f>SUM(F49:F60)</f>
        <v/>
      </c>
      <c r="G61" s="32">
        <f>SUM(G49:G60)</f>
        <v/>
      </c>
      <c r="H61" s="33">
        <f>SUM(H49:H60)</f>
        <v/>
      </c>
      <c r="I61" s="34">
        <f>SUM(I49:I60)</f>
        <v/>
      </c>
      <c r="J61" s="30" t="inlineStr"/>
      <c r="K61" s="30" t="inlineStr"/>
    </row>
    <row r="63" ht="24" customHeight="1">
      <c r="A63" s="38" t="inlineStr">
        <is>
          <t xml:space="preserve">  🍬  5. SWEETENERS, TOPPINGS &amp; MIXERS</t>
        </is>
      </c>
    </row>
    <row r="64" ht="21" customHeight="1">
      <c r="A64" s="8" t="inlineStr">
        <is>
          <t>SWT-001</t>
        </is>
      </c>
      <c r="B64" s="9" t="inlineStr">
        <is>
          <t>Hi-Fructose Corn Syrup 500ml</t>
        </is>
      </c>
      <c r="C64" s="10" t="inlineStr">
        <is>
          <t>Bot (500ml)</t>
        </is>
      </c>
      <c r="D64" s="11" t="n">
        <v>94</v>
      </c>
      <c r="E64" s="12" t="n">
        <v>10</v>
      </c>
      <c r="F64" s="13" t="n"/>
      <c r="G64" s="14">
        <f>IF(ISBLANK(F64), "", F64 - E64)</f>
        <v/>
      </c>
      <c r="H64" s="15">
        <f>IF(ISBLANK(F64), "", G64 * D64)</f>
        <v/>
      </c>
      <c r="I64" s="16">
        <f>IF(ISBLANK(F64), "", F64 * D64)</f>
        <v/>
      </c>
      <c r="J64" s="17">
        <f>IF(ISBLANK(F64), "⏳ Pending", IF(G64=0, "✅ Match", IF(G64&lt;0, "⚠️ Shortage", "🔺 Surplus")))</f>
        <v/>
      </c>
      <c r="K64" s="18" t="inlineStr">
        <is>
          <t>Primary liquid sweetener</t>
        </is>
      </c>
    </row>
    <row r="65" ht="21" customHeight="1">
      <c r="A65" s="19" t="inlineStr">
        <is>
          <t>SWT-002</t>
        </is>
      </c>
      <c r="B65" s="20" t="inlineStr">
        <is>
          <t>Refined White Sugar 1kg</t>
        </is>
      </c>
      <c r="C65" s="21" t="inlineStr">
        <is>
          <t>Pack (1kg)</t>
        </is>
      </c>
      <c r="D65" s="22" t="n">
        <v>80</v>
      </c>
      <c r="E65" s="23" t="n">
        <v>1</v>
      </c>
      <c r="F65" s="13" t="n"/>
      <c r="G65" s="24">
        <f>IF(ISBLANK(F65), "", F65 - E65)</f>
        <v/>
      </c>
      <c r="H65" s="25">
        <f>IF(ISBLANK(F65), "", G65 * D65)</f>
        <v/>
      </c>
      <c r="I65" s="26">
        <f>IF(ISBLANK(F65), "", F65 * D65)</f>
        <v/>
      </c>
      <c r="J65" s="27">
        <f>IF(ISBLANK(F65), "⏳ Pending", IF(G65=0, "✅ Match", IF(G65&lt;0, "⚠️ Shortage", "🔺 Surplus")))</f>
        <v/>
      </c>
      <c r="K65" s="28" t="inlineStr">
        <is>
          <t>Syrup prep &amp; table sugar</t>
        </is>
      </c>
    </row>
    <row r="66" ht="21" customHeight="1">
      <c r="A66" s="8" t="inlineStr">
        <is>
          <t>SWT-003</t>
        </is>
      </c>
      <c r="B66" s="9" t="inlineStr">
        <is>
          <t>Equal Sweetener Sachets (Box of 50s)</t>
        </is>
      </c>
      <c r="C66" s="10" t="inlineStr">
        <is>
          <t>Pack (50s)</t>
        </is>
      </c>
      <c r="D66" s="11" t="n">
        <v>167.5</v>
      </c>
      <c r="E66" s="12" t="n">
        <v>1</v>
      </c>
      <c r="F66" s="13" t="n"/>
      <c r="G66" s="14">
        <f>IF(ISBLANK(F66), "", F66 - E66)</f>
        <v/>
      </c>
      <c r="H66" s="15">
        <f>IF(ISBLANK(F66), "", G66 * D66)</f>
        <v/>
      </c>
      <c r="I66" s="16">
        <f>IF(ISBLANK(F66), "", F66 * D66)</f>
        <v/>
      </c>
      <c r="J66" s="17">
        <f>IF(ISBLANK(F66), "⏳ Pending", IF(G66=0, "✅ Match", IF(G66&lt;0, "⚠️ Shortage", "🔺 Surplus")))</f>
        <v/>
      </c>
      <c r="K66" s="18" t="inlineStr">
        <is>
          <t>Low calorie option</t>
        </is>
      </c>
    </row>
    <row r="67" ht="21" customHeight="1">
      <c r="A67" s="19" t="inlineStr">
        <is>
          <t>SWT-004</t>
        </is>
      </c>
      <c r="B67" s="20" t="inlineStr">
        <is>
          <t>Lotus Biscoff Spread Smooth 400g</t>
        </is>
      </c>
      <c r="C67" s="21" t="inlineStr">
        <is>
          <t>Jar (400g)</t>
        </is>
      </c>
      <c r="D67" s="22" t="n">
        <v>345</v>
      </c>
      <c r="E67" s="23" t="n">
        <v>1</v>
      </c>
      <c r="F67" s="13" t="n"/>
      <c r="G67" s="24">
        <f>IF(ISBLANK(F67), "", F67 - E67)</f>
        <v/>
      </c>
      <c r="H67" s="25">
        <f>IF(ISBLANK(F67), "", G67 * D67)</f>
        <v/>
      </c>
      <c r="I67" s="26">
        <f>IF(ISBLANK(F67), "", F67 * D67)</f>
        <v/>
      </c>
      <c r="J67" s="27">
        <f>IF(ISBLANK(F67), "⏳ Pending", IF(G67=0, "✅ Match", IF(G67&lt;0, "⚠️ Shortage", "🔺 Surplus")))</f>
        <v/>
      </c>
      <c r="K67" s="28" t="inlineStr">
        <is>
          <t>Biscoff series drinks</t>
        </is>
      </c>
    </row>
    <row r="68" ht="21" customHeight="1">
      <c r="A68" s="8" t="inlineStr">
        <is>
          <t>SWT-005</t>
        </is>
      </c>
      <c r="B68" s="9" t="inlineStr">
        <is>
          <t>Lotus Biscoff Biscuits (Pack 250g)</t>
        </is>
      </c>
      <c r="C68" s="10" t="inlineStr">
        <is>
          <t>Pack (250g)</t>
        </is>
      </c>
      <c r="D68" s="11" t="n">
        <v>192</v>
      </c>
      <c r="E68" s="12" t="n">
        <v>1</v>
      </c>
      <c r="F68" s="13" t="n"/>
      <c r="G68" s="14">
        <f>IF(ISBLANK(F68), "", F68 - E68)</f>
        <v/>
      </c>
      <c r="H68" s="15">
        <f>IF(ISBLANK(F68), "", G68 * D68)</f>
        <v/>
      </c>
      <c r="I68" s="16">
        <f>IF(ISBLANK(F68), "", F68 * D68)</f>
        <v/>
      </c>
      <c r="J68" s="17">
        <f>IF(ISBLANK(F68), "⏳ Pending", IF(G68=0, "✅ Match", IF(G68&lt;0, "⚠️ Shortage", "🔺 Surplus")))</f>
        <v/>
      </c>
      <c r="K68" s="18" t="inlineStr">
        <is>
          <t>Garnish &amp; drink topping</t>
        </is>
      </c>
    </row>
    <row r="69" ht="21" customHeight="1">
      <c r="A69" s="19" t="inlineStr">
        <is>
          <t>SWT-006</t>
        </is>
      </c>
      <c r="B69" s="20" t="inlineStr">
        <is>
          <t>Oreo Biscuit Crumbs 454g</t>
        </is>
      </c>
      <c r="C69" s="21" t="inlineStr">
        <is>
          <t>Pack (454g)</t>
        </is>
      </c>
      <c r="D69" s="22" t="n">
        <v>175</v>
      </c>
      <c r="E69" s="23" t="n">
        <v>1</v>
      </c>
      <c r="F69" s="13" t="n"/>
      <c r="G69" s="24">
        <f>IF(ISBLANK(F69), "", F69 - E69)</f>
        <v/>
      </c>
      <c r="H69" s="25">
        <f>IF(ISBLANK(F69), "", G69 * D69)</f>
        <v/>
      </c>
      <c r="I69" s="26">
        <f>IF(ISBLANK(F69), "", F69 * D69)</f>
        <v/>
      </c>
      <c r="J69" s="27">
        <f>IF(ISBLANK(F69), "⏳ Pending", IF(G69=0, "✅ Match", IF(G69&lt;0, "⚠️ Shortage", "🔺 Surplus")))</f>
        <v/>
      </c>
      <c r="K69" s="28" t="inlineStr">
        <is>
          <t>Dirty Oreo &amp; blended drinks</t>
        </is>
      </c>
    </row>
    <row r="70" ht="21" customHeight="1">
      <c r="A70" s="8" t="inlineStr">
        <is>
          <t>SWT-007</t>
        </is>
      </c>
      <c r="B70" s="9" t="inlineStr">
        <is>
          <t>Sprite 1.5L (Beverage Mixer)</t>
        </is>
      </c>
      <c r="C70" s="10" t="inlineStr">
        <is>
          <t>Bot (1.5L)</t>
        </is>
      </c>
      <c r="D70" s="11" t="n">
        <v>69.5</v>
      </c>
      <c r="E70" s="12" t="n">
        <v>4</v>
      </c>
      <c r="F70" s="13" t="n"/>
      <c r="G70" s="14">
        <f>IF(ISBLANK(F70), "", F70 - E70)</f>
        <v/>
      </c>
      <c r="H70" s="15">
        <f>IF(ISBLANK(F70), "", G70 * D70)</f>
        <v/>
      </c>
      <c r="I70" s="16">
        <f>IF(ISBLANK(F70), "", F70 * D70)</f>
        <v/>
      </c>
      <c r="J70" s="17">
        <f>IF(ISBLANK(F70), "⏳ Pending", IF(G70=0, "✅ Match", IF(G70&lt;0, "⚠️ Shortage", "🔺 Surplus")))</f>
        <v/>
      </c>
      <c r="K70" s="18" t="inlineStr">
        <is>
          <t>Base for Fruit Soda series</t>
        </is>
      </c>
    </row>
    <row r="71" ht="21" customHeight="1">
      <c r="A71" s="19" t="inlineStr">
        <is>
          <t>SWT-008</t>
        </is>
      </c>
      <c r="B71" s="20" t="inlineStr">
        <is>
          <t>Fresh Lemon Fruit</t>
        </is>
      </c>
      <c r="C71" s="21" t="inlineStr">
        <is>
          <t>Pieces</t>
        </is>
      </c>
      <c r="D71" s="22" t="n">
        <v>15</v>
      </c>
      <c r="E71" s="23" t="n">
        <v>42</v>
      </c>
      <c r="F71" s="13" t="n"/>
      <c r="G71" s="24">
        <f>IF(ISBLANK(F71), "", F71 - E71)</f>
        <v/>
      </c>
      <c r="H71" s="25">
        <f>IF(ISBLANK(F71), "", G71 * D71)</f>
        <v/>
      </c>
      <c r="I71" s="26">
        <f>IF(ISBLANK(F71), "", F71 * D71)</f>
        <v/>
      </c>
      <c r="J71" s="27">
        <f>IF(ISBLANK(F71), "⏳ Pending", IF(G71=0, "✅ Match", IF(G71&lt;0, "⚠️ Shortage", "🔺 Surplus")))</f>
        <v/>
      </c>
      <c r="K71" s="28" t="inlineStr">
        <is>
          <t>Garnish &amp; fresh lemon drinks</t>
        </is>
      </c>
    </row>
    <row r="72" ht="22" customHeight="1">
      <c r="A72" s="29" t="inlineStr">
        <is>
          <t>Subtotal — Sweeteners, Toppings &amp; Mixers:</t>
        </is>
      </c>
      <c r="B72" s="30" t="n"/>
      <c r="C72" s="30" t="n"/>
      <c r="D72" s="30" t="inlineStr"/>
      <c r="E72" s="31">
        <f>SUM(E64:E71)</f>
        <v/>
      </c>
      <c r="F72" s="31">
        <f>SUM(F64:F71)</f>
        <v/>
      </c>
      <c r="G72" s="32">
        <f>SUM(G64:G71)</f>
        <v/>
      </c>
      <c r="H72" s="33">
        <f>SUM(H64:H71)</f>
        <v/>
      </c>
      <c r="I72" s="34">
        <f>SUM(I64:I71)</f>
        <v/>
      </c>
      <c r="J72" s="30" t="inlineStr"/>
      <c r="K72" s="30" t="inlineStr"/>
    </row>
    <row r="74" ht="24" customHeight="1">
      <c r="A74" s="39" t="inlineStr">
        <is>
          <t xml:space="preserve">  🥤  6. RETAIL BOTTLED BEVERAGES &amp; BEERS</t>
        </is>
      </c>
    </row>
    <row r="75" ht="21" customHeight="1">
      <c r="A75" s="8" t="inlineStr">
        <is>
          <t>RET-001</t>
        </is>
      </c>
      <c r="B75" s="9" t="inlineStr">
        <is>
          <t>Nature Spring Mineral Water 500ml</t>
        </is>
      </c>
      <c r="C75" s="10" t="inlineStr">
        <is>
          <t>Bot (500ml)</t>
        </is>
      </c>
      <c r="D75" s="11" t="n">
        <v>12</v>
      </c>
      <c r="E75" s="12" t="n">
        <v>50</v>
      </c>
      <c r="F75" s="13" t="n"/>
      <c r="G75" s="14">
        <f>IF(ISBLANK(F75), "", F75 - E75)</f>
        <v/>
      </c>
      <c r="H75" s="15">
        <f>IF(ISBLANK(F75), "", G75 * D75)</f>
        <v/>
      </c>
      <c r="I75" s="16">
        <f>IF(ISBLANK(F75), "", F75 * D75)</f>
        <v/>
      </c>
      <c r="J75" s="17">
        <f>IF(ISBLANK(F75), "⏳ Pending", IF(G75=0, "✅ Match", IF(G75&lt;0, "⚠️ Shortage", "🔺 Surplus")))</f>
        <v/>
      </c>
      <c r="K75" s="18" t="inlineStr">
        <is>
          <t>Chiller front | SRP: ₱20.00</t>
        </is>
      </c>
    </row>
    <row r="76" ht="21" customHeight="1">
      <c r="A76" s="19" t="inlineStr">
        <is>
          <t>RET-002</t>
        </is>
      </c>
      <c r="B76" s="20" t="inlineStr">
        <is>
          <t>Nature Spring Mineral Water 1L</t>
        </is>
      </c>
      <c r="C76" s="21" t="inlineStr">
        <is>
          <t>Bot (1L)</t>
        </is>
      </c>
      <c r="D76" s="22" t="n">
        <v>18</v>
      </c>
      <c r="E76" s="23" t="n">
        <v>20</v>
      </c>
      <c r="F76" s="13" t="n"/>
      <c r="G76" s="24">
        <f>IF(ISBLANK(F76), "", F76 - E76)</f>
        <v/>
      </c>
      <c r="H76" s="25">
        <f>IF(ISBLANK(F76), "", G76 * D76)</f>
        <v/>
      </c>
      <c r="I76" s="26">
        <f>IF(ISBLANK(F76), "", F76 * D76)</f>
        <v/>
      </c>
      <c r="J76" s="27">
        <f>IF(ISBLANK(F76), "⏳ Pending", IF(G76=0, "✅ Match", IF(G76&lt;0, "⚠️ Shortage", "🔺 Surplus")))</f>
        <v/>
      </c>
      <c r="K76" s="28" t="inlineStr">
        <is>
          <t>Chiller front | SRP: ₱30.00</t>
        </is>
      </c>
    </row>
    <row r="77" ht="21" customHeight="1">
      <c r="A77" s="8" t="inlineStr">
        <is>
          <t>RET-003</t>
        </is>
      </c>
      <c r="B77" s="9" t="inlineStr">
        <is>
          <t>Perrier Sparkling Mineral Water 330ml</t>
        </is>
      </c>
      <c r="C77" s="10" t="inlineStr">
        <is>
          <t>Bot (330ml)</t>
        </is>
      </c>
      <c r="D77" s="11" t="n">
        <v>110</v>
      </c>
      <c r="E77" s="12" t="n">
        <v>12</v>
      </c>
      <c r="F77" s="13" t="n"/>
      <c r="G77" s="14">
        <f>IF(ISBLANK(F77), "", F77 - E77)</f>
        <v/>
      </c>
      <c r="H77" s="15">
        <f>IF(ISBLANK(F77), "", G77 * D77)</f>
        <v/>
      </c>
      <c r="I77" s="16">
        <f>IF(ISBLANK(F77), "", F77 * D77)</f>
        <v/>
      </c>
      <c r="J77" s="17">
        <f>IF(ISBLANK(F77), "⏳ Pending", IF(G77=0, "✅ Match", IF(G77&lt;0, "⚠️ Shortage", "🔺 Surplus")))</f>
        <v/>
      </c>
      <c r="K77" s="18" t="inlineStr">
        <is>
          <t>Chiller front | SRP: ₱199.00</t>
        </is>
      </c>
    </row>
    <row r="78" ht="21" customHeight="1">
      <c r="A78" s="19" t="inlineStr">
        <is>
          <t>RET-004</t>
        </is>
      </c>
      <c r="B78" s="20" t="inlineStr">
        <is>
          <t>Evian Natural Spring Water 500ml</t>
        </is>
      </c>
      <c r="C78" s="21" t="inlineStr">
        <is>
          <t>Bot (500ml)</t>
        </is>
      </c>
      <c r="D78" s="22" t="n">
        <v>95</v>
      </c>
      <c r="E78" s="23" t="n">
        <v>12</v>
      </c>
      <c r="F78" s="13" t="n"/>
      <c r="G78" s="24">
        <f>IF(ISBLANK(F78), "", F78 - E78)</f>
        <v/>
      </c>
      <c r="H78" s="25">
        <f>IF(ISBLANK(F78), "", G78 * D78)</f>
        <v/>
      </c>
      <c r="I78" s="26">
        <f>IF(ISBLANK(F78), "", F78 * D78)</f>
        <v/>
      </c>
      <c r="J78" s="27">
        <f>IF(ISBLANK(F78), "⏳ Pending", IF(G78=0, "✅ Match", IF(G78&lt;0, "⚠️ Shortage", "🔺 Surplus")))</f>
        <v/>
      </c>
      <c r="K78" s="28" t="inlineStr">
        <is>
          <t>Chiller front | SRP: ₱169.00</t>
        </is>
      </c>
    </row>
    <row r="79" ht="21" customHeight="1">
      <c r="A79" s="8" t="inlineStr">
        <is>
          <t>RET-005</t>
        </is>
      </c>
      <c r="B79" s="9" t="inlineStr">
        <is>
          <t>Coca-Cola Regular 320ml Can</t>
        </is>
      </c>
      <c r="C79" s="10" t="inlineStr">
        <is>
          <t>Can (320ml)</t>
        </is>
      </c>
      <c r="D79" s="11" t="n">
        <v>35</v>
      </c>
      <c r="E79" s="12" t="n">
        <v>24</v>
      </c>
      <c r="F79" s="13" t="n"/>
      <c r="G79" s="14">
        <f>IF(ISBLANK(F79), "", F79 - E79)</f>
        <v/>
      </c>
      <c r="H79" s="15">
        <f>IF(ISBLANK(F79), "", G79 * D79)</f>
        <v/>
      </c>
      <c r="I79" s="16">
        <f>IF(ISBLANK(F79), "", F79 * D79)</f>
        <v/>
      </c>
      <c r="J79" s="17">
        <f>IF(ISBLANK(F79), "⏳ Pending", IF(G79=0, "✅ Match", IF(G79&lt;0, "⚠️ Shortage", "🔺 Surplus")))</f>
        <v/>
      </c>
      <c r="K79" s="18" t="inlineStr">
        <is>
          <t>Chiller front | SRP: ₱69.00</t>
        </is>
      </c>
    </row>
    <row r="80" ht="21" customHeight="1">
      <c r="A80" s="19" t="inlineStr">
        <is>
          <t>RET-006</t>
        </is>
      </c>
      <c r="B80" s="20" t="inlineStr">
        <is>
          <t>Coca-Cola Zero Sugar 320ml Can</t>
        </is>
      </c>
      <c r="C80" s="21" t="inlineStr">
        <is>
          <t>Can (320ml)</t>
        </is>
      </c>
      <c r="D80" s="22" t="n">
        <v>35</v>
      </c>
      <c r="E80" s="23" t="n">
        <v>24</v>
      </c>
      <c r="F80" s="13" t="n"/>
      <c r="G80" s="24">
        <f>IF(ISBLANK(F80), "", F80 - E80)</f>
        <v/>
      </c>
      <c r="H80" s="25">
        <f>IF(ISBLANK(F80), "", G80 * D80)</f>
        <v/>
      </c>
      <c r="I80" s="26">
        <f>IF(ISBLANK(F80), "", F80 * D80)</f>
        <v/>
      </c>
      <c r="J80" s="27">
        <f>IF(ISBLANK(F80), "⏳ Pending", IF(G80=0, "✅ Match", IF(G80&lt;0, "⚠️ Shortage", "🔺 Surplus")))</f>
        <v/>
      </c>
      <c r="K80" s="28" t="inlineStr">
        <is>
          <t>Chiller front | SRP: ₱69.00</t>
        </is>
      </c>
    </row>
    <row r="81" ht="21" customHeight="1">
      <c r="A81" s="8" t="inlineStr">
        <is>
          <t>RET-007</t>
        </is>
      </c>
      <c r="B81" s="9" t="inlineStr">
        <is>
          <t>Sprite Soda 320ml Can</t>
        </is>
      </c>
      <c r="C81" s="10" t="inlineStr">
        <is>
          <t>Can (320ml)</t>
        </is>
      </c>
      <c r="D81" s="11" t="n">
        <v>35</v>
      </c>
      <c r="E81" s="12" t="n">
        <v>24</v>
      </c>
      <c r="F81" s="13" t="n"/>
      <c r="G81" s="14">
        <f>IF(ISBLANK(F81), "", F81 - E81)</f>
        <v/>
      </c>
      <c r="H81" s="15">
        <f>IF(ISBLANK(F81), "", G81 * D81)</f>
        <v/>
      </c>
      <c r="I81" s="16">
        <f>IF(ISBLANK(F81), "", F81 * D81)</f>
        <v/>
      </c>
      <c r="J81" s="17">
        <f>IF(ISBLANK(F81), "⏳ Pending", IF(G81=0, "✅ Match", IF(G81&lt;0, "⚠️ Shortage", "🔺 Surplus")))</f>
        <v/>
      </c>
      <c r="K81" s="18" t="inlineStr">
        <is>
          <t>Chiller front | SRP: ₱69.00</t>
        </is>
      </c>
    </row>
    <row r="82" ht="21" customHeight="1">
      <c r="A82" s="19" t="inlineStr">
        <is>
          <t>RET-008</t>
        </is>
      </c>
      <c r="B82" s="20" t="inlineStr">
        <is>
          <t>San Mig Light - Apple Bottle</t>
        </is>
      </c>
      <c r="C82" s="21" t="inlineStr">
        <is>
          <t>Bot (330ml)</t>
        </is>
      </c>
      <c r="D82" s="22" t="n">
        <v>48</v>
      </c>
      <c r="E82" s="23" t="n">
        <v>12</v>
      </c>
      <c r="F82" s="13" t="n"/>
      <c r="G82" s="24">
        <f>IF(ISBLANK(F82), "", F82 - E82)</f>
        <v/>
      </c>
      <c r="H82" s="25">
        <f>IF(ISBLANK(F82), "", G82 * D82)</f>
        <v/>
      </c>
      <c r="I82" s="26">
        <f>IF(ISBLANK(F82), "", F82 * D82)</f>
        <v/>
      </c>
      <c r="J82" s="27">
        <f>IF(ISBLANK(F82), "⏳ Pending", IF(G82=0, "✅ Match", IF(G82&lt;0, "⚠️ Shortage", "🔺 Surplus")))</f>
        <v/>
      </c>
      <c r="K82" s="28" t="inlineStr">
        <is>
          <t>Chiller front | SRP: ₱70.00</t>
        </is>
      </c>
    </row>
    <row r="83" ht="21" customHeight="1">
      <c r="A83" s="8" t="inlineStr">
        <is>
          <t>RET-009</t>
        </is>
      </c>
      <c r="B83" s="9" t="inlineStr">
        <is>
          <t>San Miguel Pale Pilsen 320ml Bottle</t>
        </is>
      </c>
      <c r="C83" s="10" t="inlineStr">
        <is>
          <t>Bot (320ml)</t>
        </is>
      </c>
      <c r="D83" s="11" t="n">
        <v>52</v>
      </c>
      <c r="E83" s="12" t="n">
        <v>12</v>
      </c>
      <c r="F83" s="13" t="n"/>
      <c r="G83" s="14">
        <f>IF(ISBLANK(F83), "", F83 - E83)</f>
        <v/>
      </c>
      <c r="H83" s="15">
        <f>IF(ISBLANK(F83), "", G83 * D83)</f>
        <v/>
      </c>
      <c r="I83" s="16">
        <f>IF(ISBLANK(F83), "", F83 * D83)</f>
        <v/>
      </c>
      <c r="J83" s="17">
        <f>IF(ISBLANK(F83), "⏳ Pending", IF(G83=0, "✅ Match", IF(G83&lt;0, "⚠️ Shortage", "🔺 Surplus")))</f>
        <v/>
      </c>
      <c r="K83" s="18" t="inlineStr">
        <is>
          <t>Chiller front | SRP: ₱80.00</t>
        </is>
      </c>
    </row>
    <row r="84" ht="21" customHeight="1">
      <c r="A84" s="19" t="inlineStr">
        <is>
          <t>RET-010</t>
        </is>
      </c>
      <c r="B84" s="20" t="inlineStr">
        <is>
          <t>Red Horse Stallion 330ml Bottle</t>
        </is>
      </c>
      <c r="C84" s="21" t="inlineStr">
        <is>
          <t>Bot (330ml)</t>
        </is>
      </c>
      <c r="D84" s="22" t="n">
        <v>55</v>
      </c>
      <c r="E84" s="23" t="n">
        <v>15</v>
      </c>
      <c r="F84" s="13" t="n"/>
      <c r="G84" s="24">
        <f>IF(ISBLANK(F84), "", F84 - E84)</f>
        <v/>
      </c>
      <c r="H84" s="25">
        <f>IF(ISBLANK(F84), "", G84 * D84)</f>
        <v/>
      </c>
      <c r="I84" s="26">
        <f>IF(ISBLANK(F84), "", F84 * D84)</f>
        <v/>
      </c>
      <c r="J84" s="27">
        <f>IF(ISBLANK(F84), "⏳ Pending", IF(G84=0, "✅ Match", IF(G84&lt;0, "⚠️ Shortage", "🔺 Surplus")))</f>
        <v/>
      </c>
      <c r="K84" s="28" t="inlineStr">
        <is>
          <t>Chiller front | SRP: ₱85.00</t>
        </is>
      </c>
    </row>
    <row r="85" ht="22" customHeight="1">
      <c r="A85" s="29" t="inlineStr">
        <is>
          <t>Subtotal — Retail Bottled Beverages &amp; Beers:</t>
        </is>
      </c>
      <c r="B85" s="30" t="n"/>
      <c r="C85" s="30" t="n"/>
      <c r="D85" s="30" t="inlineStr"/>
      <c r="E85" s="31">
        <f>SUM(E75:E84)</f>
        <v/>
      </c>
      <c r="F85" s="31">
        <f>SUM(F75:F84)</f>
        <v/>
      </c>
      <c r="G85" s="32">
        <f>SUM(G75:G84)</f>
        <v/>
      </c>
      <c r="H85" s="33">
        <f>SUM(H75:H84)</f>
        <v/>
      </c>
      <c r="I85" s="34">
        <f>SUM(I75:I84)</f>
        <v/>
      </c>
      <c r="J85" s="30" t="inlineStr"/>
      <c r="K85" s="30" t="inlineStr"/>
    </row>
    <row r="87" ht="24" customHeight="1">
      <c r="A87" s="40" t="inlineStr">
        <is>
          <t xml:space="preserve">  🥨  7. PASTRIES, BAKERY &amp; GRAB-AND-GO SNACKS</t>
        </is>
      </c>
    </row>
    <row r="88" ht="21" customHeight="1">
      <c r="A88" s="8" t="inlineStr">
        <is>
          <t>PAS-001</t>
        </is>
      </c>
      <c r="B88" s="9" t="inlineStr">
        <is>
          <t>Special Ensaymada (Pack of 6pcs)</t>
        </is>
      </c>
      <c r="C88" s="10" t="inlineStr">
        <is>
          <t>Pack (6s)</t>
        </is>
      </c>
      <c r="D88" s="11" t="n">
        <v>45</v>
      </c>
      <c r="E88" s="12" t="n">
        <v>6</v>
      </c>
      <c r="F88" s="13" t="n"/>
      <c r="G88" s="14">
        <f>IF(ISBLANK(F88), "", F88 - E88)</f>
        <v/>
      </c>
      <c r="H88" s="15">
        <f>IF(ISBLANK(F88), "", G88 * D88)</f>
        <v/>
      </c>
      <c r="I88" s="16">
        <f>IF(ISBLANK(F88), "", F88 * D88)</f>
        <v/>
      </c>
      <c r="J88" s="17">
        <f>IF(ISBLANK(F88), "⏳ Pending", IF(G88=0, "✅ Match", IF(G88&lt;0, "⚠️ Shortage", "🔺 Surplus")))</f>
        <v/>
      </c>
      <c r="K88" s="18" t="inlineStr">
        <is>
          <t>Pastry display | SRP: ₱69.00</t>
        </is>
      </c>
    </row>
    <row r="89" ht="21" customHeight="1">
      <c r="A89" s="19" t="inlineStr">
        <is>
          <t>PAS-002</t>
        </is>
      </c>
      <c r="B89" s="20" t="inlineStr">
        <is>
          <t>Chocolate Crinkles Pack</t>
        </is>
      </c>
      <c r="C89" s="21" t="inlineStr">
        <is>
          <t>Pack</t>
        </is>
      </c>
      <c r="D89" s="22" t="n">
        <v>25</v>
      </c>
      <c r="E89" s="23" t="n">
        <v>8</v>
      </c>
      <c r="F89" s="13" t="n"/>
      <c r="G89" s="24">
        <f>IF(ISBLANK(F89), "", F89 - E89)</f>
        <v/>
      </c>
      <c r="H89" s="25">
        <f>IF(ISBLANK(F89), "", G89 * D89)</f>
        <v/>
      </c>
      <c r="I89" s="26">
        <f>IF(ISBLANK(F89), "", F89 * D89)</f>
        <v/>
      </c>
      <c r="J89" s="27">
        <f>IF(ISBLANK(F89), "⏳ Pending", IF(G89=0, "✅ Match", IF(G89&lt;0, "⚠️ Shortage", "🔺 Surplus")))</f>
        <v/>
      </c>
      <c r="K89" s="28" t="inlineStr">
        <is>
          <t>Pastry display | SRP: ₱39.00</t>
        </is>
      </c>
    </row>
    <row r="90" ht="21" customHeight="1">
      <c r="A90" s="8" t="inlineStr">
        <is>
          <t>PAS-003</t>
        </is>
      </c>
      <c r="B90" s="9" t="inlineStr">
        <is>
          <t>Assorted Gourmet Muffins</t>
        </is>
      </c>
      <c r="C90" s="10" t="inlineStr">
        <is>
          <t>Pieces</t>
        </is>
      </c>
      <c r="D90" s="11" t="n">
        <v>75</v>
      </c>
      <c r="E90" s="12" t="n">
        <v>5</v>
      </c>
      <c r="F90" s="13" t="n"/>
      <c r="G90" s="14">
        <f>IF(ISBLANK(F90), "", F90 - E90)</f>
        <v/>
      </c>
      <c r="H90" s="15">
        <f>IF(ISBLANK(F90), "", G90 * D90)</f>
        <v/>
      </c>
      <c r="I90" s="16">
        <f>IF(ISBLANK(F90), "", F90 * D90)</f>
        <v/>
      </c>
      <c r="J90" s="17">
        <f>IF(ISBLANK(F90), "⏳ Pending", IF(G90=0, "✅ Match", IF(G90&lt;0, "⚠️ Shortage", "🔺 Surplus")))</f>
        <v/>
      </c>
      <c r="K90" s="18" t="inlineStr">
        <is>
          <t>Pastry display | SRP: ₱129.00</t>
        </is>
      </c>
    </row>
    <row r="91" ht="21" customHeight="1">
      <c r="A91" s="19" t="inlineStr">
        <is>
          <t>PAS-004</t>
        </is>
      </c>
      <c r="B91" s="20" t="inlineStr">
        <is>
          <t>Sliced Pastry Cake</t>
        </is>
      </c>
      <c r="C91" s="21" t="inlineStr">
        <is>
          <t>Pieces</t>
        </is>
      </c>
      <c r="D91" s="22" t="n">
        <v>30</v>
      </c>
      <c r="E91" s="23" t="n">
        <v>20</v>
      </c>
      <c r="F91" s="13" t="n"/>
      <c r="G91" s="24">
        <f>IF(ISBLANK(F91), "", F91 - E91)</f>
        <v/>
      </c>
      <c r="H91" s="25">
        <f>IF(ISBLANK(F91), "", G91 * D91)</f>
        <v/>
      </c>
      <c r="I91" s="26">
        <f>IF(ISBLANK(F91), "", F91 * D91)</f>
        <v/>
      </c>
      <c r="J91" s="27">
        <f>IF(ISBLANK(F91), "⏳ Pending", IF(G91=0, "✅ Match", IF(G91&lt;0, "⚠️ Shortage", "🔺 Surplus")))</f>
        <v/>
      </c>
      <c r="K91" s="28" t="inlineStr">
        <is>
          <t>Pastry display | SRP: ₱49.00</t>
        </is>
      </c>
    </row>
    <row r="92" ht="21" customHeight="1">
      <c r="A92" s="8" t="inlineStr">
        <is>
          <t>SNK-001</t>
        </is>
      </c>
      <c r="B92" s="9" t="inlineStr">
        <is>
          <t>Pringles Potato Crisps Original 158g</t>
        </is>
      </c>
      <c r="C92" s="10" t="inlineStr">
        <is>
          <t>Can (158g)</t>
        </is>
      </c>
      <c r="D92" s="11" t="n">
        <v>98</v>
      </c>
      <c r="E92" s="12" t="n">
        <v>10</v>
      </c>
      <c r="F92" s="13" t="n"/>
      <c r="G92" s="14">
        <f>IF(ISBLANK(F92), "", F92 - E92)</f>
        <v/>
      </c>
      <c r="H92" s="15">
        <f>IF(ISBLANK(F92), "", G92 * D92)</f>
        <v/>
      </c>
      <c r="I92" s="16">
        <f>IF(ISBLANK(F92), "", F92 * D92)</f>
        <v/>
      </c>
      <c r="J92" s="17">
        <f>IF(ISBLANK(F92), "⏳ Pending", IF(G92=0, "✅ Match", IF(G92&lt;0, "⚠️ Shortage", "🔺 Surplus")))</f>
        <v/>
      </c>
      <c r="K92" s="18" t="inlineStr">
        <is>
          <t>Retail shelf | SRP: ₱149.00</t>
        </is>
      </c>
    </row>
    <row r="93" ht="21" customHeight="1">
      <c r="A93" s="19" t="inlineStr">
        <is>
          <t>SNK-002</t>
        </is>
      </c>
      <c r="B93" s="20" t="inlineStr">
        <is>
          <t>Pringles Sour Cream &amp; Onion 158g</t>
        </is>
      </c>
      <c r="C93" s="21" t="inlineStr">
        <is>
          <t>Can (158g)</t>
        </is>
      </c>
      <c r="D93" s="22" t="n">
        <v>98</v>
      </c>
      <c r="E93" s="23" t="n">
        <v>10</v>
      </c>
      <c r="F93" s="13" t="n"/>
      <c r="G93" s="24">
        <f>IF(ISBLANK(F93), "", F93 - E93)</f>
        <v/>
      </c>
      <c r="H93" s="25">
        <f>IF(ISBLANK(F93), "", G93 * D93)</f>
        <v/>
      </c>
      <c r="I93" s="26">
        <f>IF(ISBLANK(F93), "", F93 * D93)</f>
        <v/>
      </c>
      <c r="J93" s="27">
        <f>IF(ISBLANK(F93), "⏳ Pending", IF(G93=0, "✅ Match", IF(G93&lt;0, "⚠️ Shortage", "🔺 Surplus")))</f>
        <v/>
      </c>
      <c r="K93" s="28" t="inlineStr">
        <is>
          <t>Retail shelf | SRP: ₱149.00</t>
        </is>
      </c>
    </row>
    <row r="94" ht="21" customHeight="1">
      <c r="A94" s="8" t="inlineStr">
        <is>
          <t>SNK-003</t>
        </is>
      </c>
      <c r="B94" s="9" t="inlineStr">
        <is>
          <t>Pringles Cheddar Cheese 158g</t>
        </is>
      </c>
      <c r="C94" s="10" t="inlineStr">
        <is>
          <t>Can (158g)</t>
        </is>
      </c>
      <c r="D94" s="11" t="n">
        <v>98</v>
      </c>
      <c r="E94" s="12" t="n">
        <v>10</v>
      </c>
      <c r="F94" s="13" t="n"/>
      <c r="G94" s="14">
        <f>IF(ISBLANK(F94), "", F94 - E94)</f>
        <v/>
      </c>
      <c r="H94" s="15">
        <f>IF(ISBLANK(F94), "", G94 * D94)</f>
        <v/>
      </c>
      <c r="I94" s="16">
        <f>IF(ISBLANK(F94), "", F94 * D94)</f>
        <v/>
      </c>
      <c r="J94" s="17">
        <f>IF(ISBLANK(F94), "⏳ Pending", IF(G94=0, "✅ Match", IF(G94&lt;0, "⚠️ Shortage", "🔺 Surplus")))</f>
        <v/>
      </c>
      <c r="K94" s="18" t="inlineStr">
        <is>
          <t>Retail shelf | SRP: ₱149.00</t>
        </is>
      </c>
    </row>
    <row r="95" ht="21" customHeight="1">
      <c r="A95" s="19" t="inlineStr">
        <is>
          <t>SNK-004</t>
        </is>
      </c>
      <c r="B95" s="20" t="inlineStr">
        <is>
          <t>Cheetos Cheddar Jalapeño 226.8g</t>
        </is>
      </c>
      <c r="C95" s="21" t="inlineStr">
        <is>
          <t>Pack</t>
        </is>
      </c>
      <c r="D95" s="22" t="n">
        <v>98</v>
      </c>
      <c r="E95" s="23" t="n">
        <v>8</v>
      </c>
      <c r="F95" s="13" t="n"/>
      <c r="G95" s="24">
        <f>IF(ISBLANK(F95), "", F95 - E95)</f>
        <v/>
      </c>
      <c r="H95" s="25">
        <f>IF(ISBLANK(F95), "", G95 * D95)</f>
        <v/>
      </c>
      <c r="I95" s="26">
        <f>IF(ISBLANK(F95), "", F95 * D95)</f>
        <v/>
      </c>
      <c r="J95" s="27">
        <f>IF(ISBLANK(F95), "⏳ Pending", IF(G95=0, "✅ Match", IF(G95&lt;0, "⚠️ Shortage", "🔺 Surplus")))</f>
        <v/>
      </c>
      <c r="K95" s="28" t="inlineStr">
        <is>
          <t>Retail shelf | SRP: ₱149.00</t>
        </is>
      </c>
    </row>
    <row r="96" ht="21" customHeight="1">
      <c r="A96" s="8" t="inlineStr">
        <is>
          <t>SNK-005</t>
        </is>
      </c>
      <c r="B96" s="9" t="inlineStr">
        <is>
          <t>Butter Lover Popcorn Bag</t>
        </is>
      </c>
      <c r="C96" s="10" t="inlineStr">
        <is>
          <t>Bag</t>
        </is>
      </c>
      <c r="D96" s="11" t="n">
        <v>85</v>
      </c>
      <c r="E96" s="12" t="n">
        <v>12</v>
      </c>
      <c r="F96" s="13" t="n"/>
      <c r="G96" s="14">
        <f>IF(ISBLANK(F96), "", F96 - E96)</f>
        <v/>
      </c>
      <c r="H96" s="15">
        <f>IF(ISBLANK(F96), "", G96 * D96)</f>
        <v/>
      </c>
      <c r="I96" s="16">
        <f>IF(ISBLANK(F96), "", F96 * D96)</f>
        <v/>
      </c>
      <c r="J96" s="17">
        <f>IF(ISBLANK(F96), "⏳ Pending", IF(G96=0, "✅ Match", IF(G96&lt;0, "⚠️ Shortage", "🔺 Surplus")))</f>
        <v/>
      </c>
      <c r="K96" s="18" t="inlineStr">
        <is>
          <t>Retail shelf | SRP: ₱149.00</t>
        </is>
      </c>
    </row>
    <row r="97" ht="22" customHeight="1">
      <c r="A97" s="29" t="inlineStr">
        <is>
          <t>Subtotal — Pastries, Bakery &amp; Grab-and-Go Snacks:</t>
        </is>
      </c>
      <c r="B97" s="30" t="n"/>
      <c r="C97" s="30" t="n"/>
      <c r="D97" s="30" t="inlineStr"/>
      <c r="E97" s="31">
        <f>SUM(E88:E96)</f>
        <v/>
      </c>
      <c r="F97" s="31">
        <f>SUM(F88:F96)</f>
        <v/>
      </c>
      <c r="G97" s="32">
        <f>SUM(G88:G96)</f>
        <v/>
      </c>
      <c r="H97" s="33">
        <f>SUM(H88:H96)</f>
        <v/>
      </c>
      <c r="I97" s="34">
        <f>SUM(I88:I96)</f>
        <v/>
      </c>
      <c r="J97" s="30" t="inlineStr"/>
      <c r="K97" s="30" t="inlineStr"/>
    </row>
    <row r="99" ht="24" customHeight="1">
      <c r="A99" s="41" t="inlineStr">
        <is>
          <t xml:space="preserve">  🎁  8. MERCHANDISE &amp; COLLECTOR MUGS</t>
        </is>
      </c>
    </row>
    <row r="100" ht="21" customHeight="1">
      <c r="A100" s="8" t="inlineStr">
        <is>
          <t>MRC-001</t>
        </is>
      </c>
      <c r="B100" s="9" t="inlineStr">
        <is>
          <t>Mickey Mouse Ceramic Mug (with Box)</t>
        </is>
      </c>
      <c r="C100" s="10" t="inlineStr">
        <is>
          <t>Piece</t>
        </is>
      </c>
      <c r="D100" s="11" t="n">
        <v>350</v>
      </c>
      <c r="E100" s="12" t="n">
        <v>20</v>
      </c>
      <c r="F100" s="13" t="n"/>
      <c r="G100" s="14">
        <f>IF(ISBLANK(F100), "", F100 - E100)</f>
        <v/>
      </c>
      <c r="H100" s="15">
        <f>IF(ISBLANK(F100), "", G100 * D100)</f>
        <v/>
      </c>
      <c r="I100" s="16">
        <f>IF(ISBLANK(F100), "", F100 * D100)</f>
        <v/>
      </c>
      <c r="J100" s="17">
        <f>IF(ISBLANK(F100), "⏳ Pending", IF(G100=0, "✅ Match", IF(G100&lt;0, "⚠️ Shortage", "🔺 Surplus")))</f>
        <v/>
      </c>
      <c r="K100" s="18" t="inlineStr">
        <is>
          <t>Display cabinet | SRP: ₱599.00</t>
        </is>
      </c>
    </row>
    <row r="101" ht="21" customHeight="1">
      <c r="A101" s="19" t="inlineStr">
        <is>
          <t>MRC-002</t>
        </is>
      </c>
      <c r="B101" s="20" t="inlineStr">
        <is>
          <t>Stitch Ceramic Mug (with Box)</t>
        </is>
      </c>
      <c r="C101" s="21" t="inlineStr">
        <is>
          <t>Piece</t>
        </is>
      </c>
      <c r="D101" s="22" t="n">
        <v>350</v>
      </c>
      <c r="E101" s="23" t="n">
        <v>20</v>
      </c>
      <c r="F101" s="13" t="n"/>
      <c r="G101" s="24">
        <f>IF(ISBLANK(F101), "", F101 - E101)</f>
        <v/>
      </c>
      <c r="H101" s="25">
        <f>IF(ISBLANK(F101), "", G101 * D101)</f>
        <v/>
      </c>
      <c r="I101" s="26">
        <f>IF(ISBLANK(F101), "", F101 * D101)</f>
        <v/>
      </c>
      <c r="J101" s="27">
        <f>IF(ISBLANK(F101), "⏳ Pending", IF(G101=0, "✅ Match", IF(G101&lt;0, "⚠️ Shortage", "🔺 Surplus")))</f>
        <v/>
      </c>
      <c r="K101" s="28" t="inlineStr">
        <is>
          <t>Display cabinet | SRP: ₱599.00</t>
        </is>
      </c>
    </row>
    <row r="102" ht="21" customHeight="1">
      <c r="A102" s="8" t="inlineStr">
        <is>
          <t>MRC-003</t>
        </is>
      </c>
      <c r="B102" s="9" t="inlineStr">
        <is>
          <t>Lotso Bear Ceramic Mug (with Box)</t>
        </is>
      </c>
      <c r="C102" s="10" t="inlineStr">
        <is>
          <t>Piece</t>
        </is>
      </c>
      <c r="D102" s="11" t="n">
        <v>350</v>
      </c>
      <c r="E102" s="12" t="n">
        <v>20</v>
      </c>
      <c r="F102" s="13" t="n"/>
      <c r="G102" s="14">
        <f>IF(ISBLANK(F102), "", F102 - E102)</f>
        <v/>
      </c>
      <c r="H102" s="15">
        <f>IF(ISBLANK(F102), "", G102 * D102)</f>
        <v/>
      </c>
      <c r="I102" s="16">
        <f>IF(ISBLANK(F102), "", F102 * D102)</f>
        <v/>
      </c>
      <c r="J102" s="17">
        <f>IF(ISBLANK(F102), "⏳ Pending", IF(G102=0, "✅ Match", IF(G102&lt;0, "⚠️ Shortage", "🔺 Surplus")))</f>
        <v/>
      </c>
      <c r="K102" s="18" t="inlineStr">
        <is>
          <t>Display cabinet | SRP: ₱599.00</t>
        </is>
      </c>
    </row>
    <row r="103" ht="21" customHeight="1">
      <c r="A103" s="19" t="inlineStr">
        <is>
          <t>MRC-004</t>
        </is>
      </c>
      <c r="B103" s="20" t="inlineStr">
        <is>
          <t>Nick Wilde Fox Ceramic Mug (with Box)</t>
        </is>
      </c>
      <c r="C103" s="21" t="inlineStr">
        <is>
          <t>Piece</t>
        </is>
      </c>
      <c r="D103" s="22" t="n">
        <v>350</v>
      </c>
      <c r="E103" s="23" t="n">
        <v>20</v>
      </c>
      <c r="F103" s="13" t="n"/>
      <c r="G103" s="24">
        <f>IF(ISBLANK(F103), "", F103 - E103)</f>
        <v/>
      </c>
      <c r="H103" s="25">
        <f>IF(ISBLANK(F103), "", G103 * D103)</f>
        <v/>
      </c>
      <c r="I103" s="26">
        <f>IF(ISBLANK(F103), "", F103 * D103)</f>
        <v/>
      </c>
      <c r="J103" s="27">
        <f>IF(ISBLANK(F103), "⏳ Pending", IF(G103=0, "✅ Match", IF(G103&lt;0, "⚠️ Shortage", "🔺 Surplus")))</f>
        <v/>
      </c>
      <c r="K103" s="28" t="inlineStr">
        <is>
          <t>Display cabinet | SRP: ₱599.00</t>
        </is>
      </c>
    </row>
    <row r="104" ht="22" customHeight="1">
      <c r="A104" s="29" t="inlineStr">
        <is>
          <t>Subtotal — Merchandise &amp; Collector Mugs:</t>
        </is>
      </c>
      <c r="B104" s="30" t="n"/>
      <c r="C104" s="30" t="n"/>
      <c r="D104" s="30" t="inlineStr"/>
      <c r="E104" s="31">
        <f>SUM(E100:E103)</f>
        <v/>
      </c>
      <c r="F104" s="31">
        <f>SUM(F100:F103)</f>
        <v/>
      </c>
      <c r="G104" s="32">
        <f>SUM(G100:G103)</f>
        <v/>
      </c>
      <c r="H104" s="33">
        <f>SUM(H100:H103)</f>
        <v/>
      </c>
      <c r="I104" s="34">
        <f>SUM(I100:I103)</f>
        <v/>
      </c>
      <c r="J104" s="30" t="inlineStr"/>
      <c r="K104" s="30" t="inlineStr"/>
    </row>
    <row r="106" ht="24" customHeight="1">
      <c r="A106" s="42" t="inlineStr">
        <is>
          <t xml:space="preserve">  📦  9. CUPS, LIDS &amp; PACKAGING DISPOSABLES</t>
        </is>
      </c>
    </row>
    <row r="107" ht="21" customHeight="1">
      <c r="A107" s="8" t="inlineStr">
        <is>
          <t>PKG-001</t>
        </is>
      </c>
      <c r="B107" s="9" t="inlineStr">
        <is>
          <t>Hot Paper Cups 8oz / 12oz</t>
        </is>
      </c>
      <c r="C107" s="10" t="inlineStr">
        <is>
          <t>Sleeve (50s)</t>
        </is>
      </c>
      <c r="D107" s="11" t="n">
        <v>120</v>
      </c>
      <c r="E107" s="12" t="n">
        <v>5</v>
      </c>
      <c r="F107" s="13" t="n"/>
      <c r="G107" s="14">
        <f>IF(ISBLANK(F107), "", F107 - E107)</f>
        <v/>
      </c>
      <c r="H107" s="15">
        <f>IF(ISBLANK(F107), "", G107 * D107)</f>
        <v/>
      </c>
      <c r="I107" s="16">
        <f>IF(ISBLANK(F107), "", F107 * D107)</f>
        <v/>
      </c>
      <c r="J107" s="17">
        <f>IF(ISBLANK(F107), "⏳ Pending", IF(G107=0, "✅ Match", IF(G107&lt;0, "⚠️ Shortage", "🔺 Surplus")))</f>
        <v/>
      </c>
      <c r="K107" s="18" t="inlineStr">
        <is>
          <t>For hot coffee drinks</t>
        </is>
      </c>
    </row>
    <row r="108" ht="21" customHeight="1">
      <c r="A108" s="19" t="inlineStr">
        <is>
          <t>PKG-002</t>
        </is>
      </c>
      <c r="B108" s="20" t="inlineStr">
        <is>
          <t>Hot Cup Sipper Lids 80mm / 90mm</t>
        </is>
      </c>
      <c r="C108" s="21" t="inlineStr">
        <is>
          <t>Sleeve (50s)</t>
        </is>
      </c>
      <c r="D108" s="22" t="n">
        <v>85</v>
      </c>
      <c r="E108" s="23" t="n">
        <v>5</v>
      </c>
      <c r="F108" s="13" t="n"/>
      <c r="G108" s="24">
        <f>IF(ISBLANK(F108), "", F108 - E108)</f>
        <v/>
      </c>
      <c r="H108" s="25">
        <f>IF(ISBLANK(F108), "", G108 * D108)</f>
        <v/>
      </c>
      <c r="I108" s="26">
        <f>IF(ISBLANK(F108), "", F108 * D108)</f>
        <v/>
      </c>
      <c r="J108" s="27">
        <f>IF(ISBLANK(F108), "⏳ Pending", IF(G108=0, "✅ Match", IF(G108&lt;0, "⚠️ Shortage", "🔺 Surplus")))</f>
        <v/>
      </c>
      <c r="K108" s="28" t="inlineStr">
        <is>
          <t>For hot coffee cups</t>
        </is>
      </c>
    </row>
    <row r="109" ht="21" customHeight="1">
      <c r="A109" s="8" t="inlineStr">
        <is>
          <t>PKG-003</t>
        </is>
      </c>
      <c r="B109" s="9" t="inlineStr">
        <is>
          <t>Cold PET Cups 16oz (Medium)</t>
        </is>
      </c>
      <c r="C109" s="10" t="inlineStr">
        <is>
          <t>Sleeve (50s)</t>
        </is>
      </c>
      <c r="D109" s="11" t="n">
        <v>140</v>
      </c>
      <c r="E109" s="12" t="n">
        <v>6</v>
      </c>
      <c r="F109" s="13" t="n"/>
      <c r="G109" s="14">
        <f>IF(ISBLANK(F109), "", F109 - E109)</f>
        <v/>
      </c>
      <c r="H109" s="15">
        <f>IF(ISBLANK(F109), "", G109 * D109)</f>
        <v/>
      </c>
      <c r="I109" s="16">
        <f>IF(ISBLANK(F109), "", F109 * D109)</f>
        <v/>
      </c>
      <c r="J109" s="17">
        <f>IF(ISBLANK(F109), "⏳ Pending", IF(G109=0, "✅ Match", IF(G109&lt;0, "⚠️ Shortage", "🔺 Surplus")))</f>
        <v/>
      </c>
      <c r="K109" s="18" t="inlineStr">
        <is>
          <t>For iced coffee &amp; tea 16oz</t>
        </is>
      </c>
    </row>
    <row r="110" ht="21" customHeight="1">
      <c r="A110" s="19" t="inlineStr">
        <is>
          <t>PKG-004</t>
        </is>
      </c>
      <c r="B110" s="20" t="inlineStr">
        <is>
          <t>Cold PET Cups 22oz (Large)</t>
        </is>
      </c>
      <c r="C110" s="21" t="inlineStr">
        <is>
          <t>Sleeve (50s)</t>
        </is>
      </c>
      <c r="D110" s="22" t="n">
        <v>165</v>
      </c>
      <c r="E110" s="23" t="n">
        <v>6</v>
      </c>
      <c r="F110" s="13" t="n"/>
      <c r="G110" s="24">
        <f>IF(ISBLANK(F110), "", F110 - E110)</f>
        <v/>
      </c>
      <c r="H110" s="25">
        <f>IF(ISBLANK(F110), "", G110 * D110)</f>
        <v/>
      </c>
      <c r="I110" s="26">
        <f>IF(ISBLANK(F110), "", F110 * D110)</f>
        <v/>
      </c>
      <c r="J110" s="27">
        <f>IF(ISBLANK(F110), "⏳ Pending", IF(G110=0, "✅ Match", IF(G110&lt;0, "⚠️ Shortage", "🔺 Surplus")))</f>
        <v/>
      </c>
      <c r="K110" s="28" t="inlineStr">
        <is>
          <t>For iced coffee &amp; tea 22oz</t>
        </is>
      </c>
    </row>
    <row r="111" ht="21" customHeight="1">
      <c r="A111" s="8" t="inlineStr">
        <is>
          <t>PKG-005</t>
        </is>
      </c>
      <c r="B111" s="9" t="inlineStr">
        <is>
          <t>Flat Lids 90mm / 95mm</t>
        </is>
      </c>
      <c r="C111" s="10" t="inlineStr">
        <is>
          <t>Sleeve (50s)</t>
        </is>
      </c>
      <c r="D111" s="11" t="n">
        <v>75</v>
      </c>
      <c r="E111" s="12" t="n">
        <v>6</v>
      </c>
      <c r="F111" s="13" t="n"/>
      <c r="G111" s="14">
        <f>IF(ISBLANK(F111), "", F111 - E111)</f>
        <v/>
      </c>
      <c r="H111" s="15">
        <f>IF(ISBLANK(F111), "", G111 * D111)</f>
        <v/>
      </c>
      <c r="I111" s="16">
        <f>IF(ISBLANK(F111), "", F111 * D111)</f>
        <v/>
      </c>
      <c r="J111" s="17">
        <f>IF(ISBLANK(F111), "⏳ Pending", IF(G111=0, "✅ Match", IF(G111&lt;0, "⚠️ Shortage", "🔺 Surplus")))</f>
        <v/>
      </c>
      <c r="K111" s="18" t="inlineStr">
        <is>
          <t>Cold beverage flat lid</t>
        </is>
      </c>
    </row>
    <row r="112" ht="21" customHeight="1">
      <c r="A112" s="19" t="inlineStr">
        <is>
          <t>PKG-006</t>
        </is>
      </c>
      <c r="B112" s="20" t="inlineStr">
        <is>
          <t>Dome Lids 90mm / 95mm</t>
        </is>
      </c>
      <c r="C112" s="21" t="inlineStr">
        <is>
          <t>Sleeve (50s)</t>
        </is>
      </c>
      <c r="D112" s="22" t="n">
        <v>85</v>
      </c>
      <c r="E112" s="23" t="n">
        <v>6</v>
      </c>
      <c r="F112" s="13" t="n"/>
      <c r="G112" s="24">
        <f>IF(ISBLANK(F112), "", F112 - E112)</f>
        <v/>
      </c>
      <c r="H112" s="25">
        <f>IF(ISBLANK(F112), "", G112 * D112)</f>
        <v/>
      </c>
      <c r="I112" s="26">
        <f>IF(ISBLANK(F112), "", F112 * D112)</f>
        <v/>
      </c>
      <c r="J112" s="27">
        <f>IF(ISBLANK(F112), "⏳ Pending", IF(G112=0, "✅ Match", IF(G112&lt;0, "⚠️ Shortage", "🔺 Surplus")))</f>
        <v/>
      </c>
      <c r="K112" s="28" t="inlineStr">
        <is>
          <t>Whipping cream / foam dome</t>
        </is>
      </c>
    </row>
    <row r="113" ht="21" customHeight="1">
      <c r="A113" s="8" t="inlineStr">
        <is>
          <t>PKG-007</t>
        </is>
      </c>
      <c r="B113" s="9" t="inlineStr">
        <is>
          <t>Wooden Coffee Stirrers (100s)</t>
        </is>
      </c>
      <c r="C113" s="10" t="inlineStr">
        <is>
          <t>Pack (100s)</t>
        </is>
      </c>
      <c r="D113" s="11" t="n">
        <v>25</v>
      </c>
      <c r="E113" s="12" t="n">
        <v>2</v>
      </c>
      <c r="F113" s="13" t="n"/>
      <c r="G113" s="14">
        <f>IF(ISBLANK(F113), "", F113 - E113)</f>
        <v/>
      </c>
      <c r="H113" s="15">
        <f>IF(ISBLANK(F113), "", G113 * D113)</f>
        <v/>
      </c>
      <c r="I113" s="16">
        <f>IF(ISBLANK(F113), "", F113 * D113)</f>
        <v/>
      </c>
      <c r="J113" s="17">
        <f>IF(ISBLANK(F113), "⏳ Pending", IF(G113=0, "✅ Match", IF(G113&lt;0, "⚠️ Shortage", "🔺 Surplus")))</f>
        <v/>
      </c>
      <c r="K113" s="18" t="inlineStr">
        <is>
          <t>Eco-friendly stirrers</t>
        </is>
      </c>
    </row>
    <row r="114" ht="21" customHeight="1">
      <c r="A114" s="19" t="inlineStr">
        <is>
          <t>PKG-008</t>
        </is>
      </c>
      <c r="B114" s="20" t="inlineStr">
        <is>
          <t>Individually Wrapped Drinking Straws</t>
        </is>
      </c>
      <c r="C114" s="21" t="inlineStr">
        <is>
          <t>Pack (100s)</t>
        </is>
      </c>
      <c r="D114" s="22" t="n">
        <v>45</v>
      </c>
      <c r="E114" s="23" t="n">
        <v>4</v>
      </c>
      <c r="F114" s="13" t="n"/>
      <c r="G114" s="24">
        <f>IF(ISBLANK(F114), "", F114 - E114)</f>
        <v/>
      </c>
      <c r="H114" s="25">
        <f>IF(ISBLANK(F114), "", G114 * D114)</f>
        <v/>
      </c>
      <c r="I114" s="26">
        <f>IF(ISBLANK(F114), "", F114 * D114)</f>
        <v/>
      </c>
      <c r="J114" s="27">
        <f>IF(ISBLANK(F114), "⏳ Pending", IF(G114=0, "✅ Match", IF(G114&lt;0, "⚠️ Shortage", "🔺 Surplus")))</f>
        <v/>
      </c>
      <c r="K114" s="28" t="inlineStr">
        <is>
          <t>Hygienic cold drink straws</t>
        </is>
      </c>
    </row>
    <row r="115" ht="21" customHeight="1">
      <c r="A115" s="8" t="inlineStr">
        <is>
          <t>PKG-009</t>
        </is>
      </c>
      <c r="B115" s="9" t="inlineStr">
        <is>
          <t>Jade Pre-Cut Table Napkins / Tissues 1000s</t>
        </is>
      </c>
      <c r="C115" s="10" t="inlineStr">
        <is>
          <t>Pack (1000s)</t>
        </is>
      </c>
      <c r="D115" s="11" t="n">
        <v>80</v>
      </c>
      <c r="E115" s="12" t="n">
        <v>1</v>
      </c>
      <c r="F115" s="13" t="n"/>
      <c r="G115" s="14">
        <f>IF(ISBLANK(F115), "", F115 - E115)</f>
        <v/>
      </c>
      <c r="H115" s="15">
        <f>IF(ISBLANK(F115), "", G115 * D115)</f>
        <v/>
      </c>
      <c r="I115" s="16">
        <f>IF(ISBLANK(F115), "", F115 * D115)</f>
        <v/>
      </c>
      <c r="J115" s="17">
        <f>IF(ISBLANK(F115), "⏳ Pending", IF(G115=0, "✅ Match", IF(G115&lt;0, "⚠️ Shortage", "🔺 Surplus")))</f>
        <v/>
      </c>
      <c r="K115" s="18" t="inlineStr">
        <is>
          <t>Bar &amp; dining napkins</t>
        </is>
      </c>
    </row>
    <row r="116" ht="21" customHeight="1">
      <c r="A116" s="19" t="inlineStr">
        <is>
          <t>PKG-010</t>
        </is>
      </c>
      <c r="B116" s="20" t="inlineStr">
        <is>
          <t>Takeout Cup Carriers (2-Cup / 4-Cup)</t>
        </is>
      </c>
      <c r="C116" s="21" t="inlineStr">
        <is>
          <t>Pack (50s)</t>
        </is>
      </c>
      <c r="D116" s="22" t="n">
        <v>110</v>
      </c>
      <c r="E116" s="23" t="n">
        <v>3</v>
      </c>
      <c r="F116" s="13" t="n"/>
      <c r="G116" s="24">
        <f>IF(ISBLANK(F116), "", F116 - E116)</f>
        <v/>
      </c>
      <c r="H116" s="25">
        <f>IF(ISBLANK(F116), "", G116 * D116)</f>
        <v/>
      </c>
      <c r="I116" s="26">
        <f>IF(ISBLANK(F116), "", F116 * D116)</f>
        <v/>
      </c>
      <c r="J116" s="27">
        <f>IF(ISBLANK(F116), "⏳ Pending", IF(G116=0, "✅ Match", IF(G116&lt;0, "⚠️ Shortage", "🔺 Surplus")))</f>
        <v/>
      </c>
      <c r="K116" s="28" t="inlineStr">
        <is>
          <t>Kraft takeout holders</t>
        </is>
      </c>
    </row>
    <row r="117" ht="21" customHeight="1">
      <c r="A117" s="8" t="inlineStr">
        <is>
          <t>PKG-011</t>
        </is>
      </c>
      <c r="B117" s="9" t="inlineStr">
        <is>
          <t>Thermal POS Receipt Paper Rolls 58mm/80mm</t>
        </is>
      </c>
      <c r="C117" s="10" t="inlineStr">
        <is>
          <t>Rolls</t>
        </is>
      </c>
      <c r="D117" s="11" t="n">
        <v>30</v>
      </c>
      <c r="E117" s="12" t="n">
        <v>10</v>
      </c>
      <c r="F117" s="13" t="n"/>
      <c r="G117" s="14">
        <f>IF(ISBLANK(F117), "", F117 - E117)</f>
        <v/>
      </c>
      <c r="H117" s="15">
        <f>IF(ISBLANK(F117), "", G117 * D117)</f>
        <v/>
      </c>
      <c r="I117" s="16">
        <f>IF(ISBLANK(F117), "", F117 * D117)</f>
        <v/>
      </c>
      <c r="J117" s="17">
        <f>IF(ISBLANK(F117), "⏳ Pending", IF(G117=0, "✅ Match", IF(G117&lt;0, "⚠️ Shortage", "🔺 Surplus")))</f>
        <v/>
      </c>
      <c r="K117" s="18" t="inlineStr">
        <is>
          <t>Cashier receipt printer</t>
        </is>
      </c>
    </row>
    <row r="118" ht="22" customHeight="1">
      <c r="A118" s="29" t="inlineStr">
        <is>
          <t>Subtotal — Cups, Lids &amp; Packaging Disposables:</t>
        </is>
      </c>
      <c r="B118" s="30" t="n"/>
      <c r="C118" s="30" t="n"/>
      <c r="D118" s="30" t="inlineStr"/>
      <c r="E118" s="31">
        <f>SUM(E107:E117)</f>
        <v/>
      </c>
      <c r="F118" s="31">
        <f>SUM(F107:F117)</f>
        <v/>
      </c>
      <c r="G118" s="32">
        <f>SUM(G107:G117)</f>
        <v/>
      </c>
      <c r="H118" s="33">
        <f>SUM(H107:H117)</f>
        <v/>
      </c>
      <c r="I118" s="34">
        <f>SUM(I107:I117)</f>
        <v/>
      </c>
      <c r="J118" s="30" t="inlineStr"/>
      <c r="K118" s="30" t="inlineStr"/>
    </row>
    <row r="120" ht="24" customHeight="1">
      <c r="A120" s="43" t="inlineStr">
        <is>
          <t xml:space="preserve">  🥄  10. BAR TOOLS, UTENSILS &amp; SMALLWARES</t>
        </is>
      </c>
    </row>
    <row r="121" ht="21" customHeight="1">
      <c r="A121" s="8" t="inlineStr">
        <is>
          <t>TOO-001</t>
        </is>
      </c>
      <c r="B121" s="9" t="inlineStr">
        <is>
          <t>Steaming Pitcher Matte Black 600ml</t>
        </is>
      </c>
      <c r="C121" s="10" t="inlineStr">
        <is>
          <t>Piece</t>
        </is>
      </c>
      <c r="D121" s="11" t="n">
        <v>2180</v>
      </c>
      <c r="E121" s="12" t="n">
        <v>1</v>
      </c>
      <c r="F121" s="13" t="n"/>
      <c r="G121" s="14">
        <f>IF(ISBLANK(F121), "", F121 - E121)</f>
        <v/>
      </c>
      <c r="H121" s="15">
        <f>IF(ISBLANK(F121), "", G121 * D121)</f>
        <v/>
      </c>
      <c r="I121" s="16">
        <f>IF(ISBLANK(F121), "", F121 * D121)</f>
        <v/>
      </c>
      <c r="J121" s="17">
        <f>IF(ISBLANK(F121), "⏳ Pending", IF(G121=0, "✅ Match", IF(G121&lt;0, "⚠️ Shortage", "🔺 Surplus")))</f>
        <v/>
      </c>
      <c r="K121" s="18" t="inlineStr">
        <is>
          <t>Espresso milk frothing</t>
        </is>
      </c>
    </row>
    <row r="122" ht="21" customHeight="1">
      <c r="A122" s="19" t="inlineStr">
        <is>
          <t>TOO-002</t>
        </is>
      </c>
      <c r="B122" s="20" t="inlineStr">
        <is>
          <t>Acrylic Measuring Jigger 10ml / 20ml</t>
        </is>
      </c>
      <c r="C122" s="21" t="inlineStr">
        <is>
          <t>Piece</t>
        </is>
      </c>
      <c r="D122" s="22" t="n">
        <v>60</v>
      </c>
      <c r="E122" s="23" t="n">
        <v>2</v>
      </c>
      <c r="F122" s="13" t="n"/>
      <c r="G122" s="24">
        <f>IF(ISBLANK(F122), "", F122 - E122)</f>
        <v/>
      </c>
      <c r="H122" s="25">
        <f>IF(ISBLANK(F122), "", G122 * D122)</f>
        <v/>
      </c>
      <c r="I122" s="26">
        <f>IF(ISBLANK(F122), "", F122 * D122)</f>
        <v/>
      </c>
      <c r="J122" s="27">
        <f>IF(ISBLANK(F122), "⏳ Pending", IF(G122=0, "✅ Match", IF(G122&lt;0, "⚠️ Shortage", "🔺 Surplus")))</f>
        <v/>
      </c>
      <c r="K122" s="28" t="inlineStr">
        <is>
          <t>Syrup &amp; flavor measurement</t>
        </is>
      </c>
    </row>
    <row r="123" ht="21" customHeight="1">
      <c r="A123" s="8" t="inlineStr">
        <is>
          <t>TOO-003</t>
        </is>
      </c>
      <c r="B123" s="9" t="inlineStr">
        <is>
          <t>Bar Spoon Glossy Stainless</t>
        </is>
      </c>
      <c r="C123" s="10" t="inlineStr">
        <is>
          <t>Piece</t>
        </is>
      </c>
      <c r="D123" s="11" t="n">
        <v>110</v>
      </c>
      <c r="E123" s="12" t="n">
        <v>1</v>
      </c>
      <c r="F123" s="13" t="n"/>
      <c r="G123" s="14">
        <f>IF(ISBLANK(F123), "", F123 - E123)</f>
        <v/>
      </c>
      <c r="H123" s="15">
        <f>IF(ISBLANK(F123), "", G123 * D123)</f>
        <v/>
      </c>
      <c r="I123" s="16">
        <f>IF(ISBLANK(F123), "", F123 * D123)</f>
        <v/>
      </c>
      <c r="J123" s="17">
        <f>IF(ISBLANK(F123), "⏳ Pending", IF(G123=0, "✅ Match", IF(G123&lt;0, "⚠️ Shortage", "🔺 Surplus")))</f>
        <v/>
      </c>
      <c r="K123" s="18" t="inlineStr">
        <is>
          <t>Long spiral bar stirring spoon</t>
        </is>
      </c>
    </row>
    <row r="124" ht="21" customHeight="1">
      <c r="A124" s="19" t="inlineStr">
        <is>
          <t>TOO-004</t>
        </is>
      </c>
      <c r="B124" s="20" t="inlineStr">
        <is>
          <t>Heavy Duty Silicone Bar Mat</t>
        </is>
      </c>
      <c r="C124" s="21" t="inlineStr">
        <is>
          <t>Piece</t>
        </is>
      </c>
      <c r="D124" s="22" t="n">
        <v>320</v>
      </c>
      <c r="E124" s="23" t="n">
        <v>1</v>
      </c>
      <c r="F124" s="13" t="n"/>
      <c r="G124" s="24">
        <f>IF(ISBLANK(F124), "", F124 - E124)</f>
        <v/>
      </c>
      <c r="H124" s="25">
        <f>IF(ISBLANK(F124), "", G124 * D124)</f>
        <v/>
      </c>
      <c r="I124" s="26">
        <f>IF(ISBLANK(F124), "", F124 * D124)</f>
        <v/>
      </c>
      <c r="J124" s="27">
        <f>IF(ISBLANK(F124), "⏳ Pending", IF(G124=0, "✅ Match", IF(G124&lt;0, "⚠️ Shortage", "🔺 Surplus")))</f>
        <v/>
      </c>
      <c r="K124" s="28" t="inlineStr">
        <is>
          <t>Counter drip station</t>
        </is>
      </c>
    </row>
    <row r="125" ht="21" customHeight="1">
      <c r="A125" s="8" t="inlineStr">
        <is>
          <t>TOO-005</t>
        </is>
      </c>
      <c r="B125" s="9" t="inlineStr">
        <is>
          <t>Stainless Cocktail Shaker 1L</t>
        </is>
      </c>
      <c r="C125" s="10" t="inlineStr">
        <is>
          <t>Piece</t>
        </is>
      </c>
      <c r="D125" s="11" t="n">
        <v>250</v>
      </c>
      <c r="E125" s="12" t="n">
        <v>1</v>
      </c>
      <c r="F125" s="13" t="n"/>
      <c r="G125" s="14">
        <f>IF(ISBLANK(F125), "", F125 - E125)</f>
        <v/>
      </c>
      <c r="H125" s="15">
        <f>IF(ISBLANK(F125), "", G125 * D125)</f>
        <v/>
      </c>
      <c r="I125" s="16">
        <f>IF(ISBLANK(F125), "", F125 * D125)</f>
        <v/>
      </c>
      <c r="J125" s="17">
        <f>IF(ISBLANK(F125), "⏳ Pending", IF(G125=0, "✅ Match", IF(G125&lt;0, "⚠️ Shortage", "🔺 Surplus")))</f>
        <v/>
      </c>
      <c r="K125" s="18" t="inlineStr">
        <is>
          <t>Large iced shaken drinks</t>
        </is>
      </c>
    </row>
    <row r="126" ht="21" customHeight="1">
      <c r="A126" s="19" t="inlineStr">
        <is>
          <t>TOO-006</t>
        </is>
      </c>
      <c r="B126" s="20" t="inlineStr">
        <is>
          <t>Stainless Cocktail Shaker 700ml</t>
        </is>
      </c>
      <c r="C126" s="21" t="inlineStr">
        <is>
          <t>Piece</t>
        </is>
      </c>
      <c r="D126" s="22" t="n">
        <v>210</v>
      </c>
      <c r="E126" s="23" t="n">
        <v>1</v>
      </c>
      <c r="F126" s="13" t="n"/>
      <c r="G126" s="24">
        <f>IF(ISBLANK(F126), "", F126 - E126)</f>
        <v/>
      </c>
      <c r="H126" s="25">
        <f>IF(ISBLANK(F126), "", G126 * D126)</f>
        <v/>
      </c>
      <c r="I126" s="26">
        <f>IF(ISBLANK(F126), "", F126 * D126)</f>
        <v/>
      </c>
      <c r="J126" s="27">
        <f>IF(ISBLANK(F126), "⏳ Pending", IF(G126=0, "✅ Match", IF(G126&lt;0, "⚠️ Shortage", "🔺 Surplus")))</f>
        <v/>
      </c>
      <c r="K126" s="28" t="inlineStr">
        <is>
          <t>Medium iced shaken drinks</t>
        </is>
      </c>
    </row>
    <row r="127" ht="21" customHeight="1">
      <c r="A127" s="8" t="inlineStr">
        <is>
          <t>TOO-007</t>
        </is>
      </c>
      <c r="B127" s="9" t="inlineStr">
        <is>
          <t>White Sauce Squeeze Bottles</t>
        </is>
      </c>
      <c r="C127" s="10" t="inlineStr">
        <is>
          <t>Piece</t>
        </is>
      </c>
      <c r="D127" s="11" t="n">
        <v>40</v>
      </c>
      <c r="E127" s="12" t="n">
        <v>4</v>
      </c>
      <c r="F127" s="13" t="n"/>
      <c r="G127" s="14">
        <f>IF(ISBLANK(F127), "", F127 - E127)</f>
        <v/>
      </c>
      <c r="H127" s="15">
        <f>IF(ISBLANK(F127), "", G127 * D127)</f>
        <v/>
      </c>
      <c r="I127" s="16">
        <f>IF(ISBLANK(F127), "", F127 * D127)</f>
        <v/>
      </c>
      <c r="J127" s="17">
        <f>IF(ISBLANK(F127), "⏳ Pending", IF(G127=0, "✅ Match", IF(G127&lt;0, "⚠️ Shortage", "🔺 Surplus")))</f>
        <v/>
      </c>
      <c r="K127" s="18" t="inlineStr">
        <is>
          <t>Fudge &amp; sauce squeeze dispensers</t>
        </is>
      </c>
    </row>
    <row r="128" ht="21" customHeight="1">
      <c r="A128" s="19" t="inlineStr">
        <is>
          <t>TOO-008</t>
        </is>
      </c>
      <c r="B128" s="20" t="inlineStr">
        <is>
          <t>Fliptop Wide Storage Containers 1.8L</t>
        </is>
      </c>
      <c r="C128" s="21" t="inlineStr">
        <is>
          <t>Piece</t>
        </is>
      </c>
      <c r="D128" s="22" t="n">
        <v>84</v>
      </c>
      <c r="E128" s="23" t="n">
        <v>6</v>
      </c>
      <c r="F128" s="13" t="n"/>
      <c r="G128" s="24">
        <f>IF(ISBLANK(F128), "", F128 - E128)</f>
        <v/>
      </c>
      <c r="H128" s="25">
        <f>IF(ISBLANK(F128), "", G128 * D128)</f>
        <v/>
      </c>
      <c r="I128" s="26">
        <f>IF(ISBLANK(F128), "", F128 * D128)</f>
        <v/>
      </c>
      <c r="J128" s="27">
        <f>IF(ISBLANK(F128), "⏳ Pending", IF(G128=0, "✅ Match", IF(G128&lt;0, "⚠️ Shortage", "🔺 Surplus")))</f>
        <v/>
      </c>
      <c r="K128" s="28" t="inlineStr">
        <is>
          <t>Powders &amp; topping canisters</t>
        </is>
      </c>
    </row>
    <row r="129" ht="21" customHeight="1">
      <c r="A129" s="8" t="inlineStr">
        <is>
          <t>TOO-009</t>
        </is>
      </c>
      <c r="B129" s="9" t="inlineStr">
        <is>
          <t>Stackable Food Keeper Square Small</t>
        </is>
      </c>
      <c r="C129" s="10" t="inlineStr">
        <is>
          <t>Piece</t>
        </is>
      </c>
      <c r="D129" s="11" t="n">
        <v>50</v>
      </c>
      <c r="E129" s="12" t="n">
        <v>1</v>
      </c>
      <c r="F129" s="13" t="n"/>
      <c r="G129" s="14">
        <f>IF(ISBLANK(F129), "", F129 - E129)</f>
        <v/>
      </c>
      <c r="H129" s="15">
        <f>IF(ISBLANK(F129), "", G129 * D129)</f>
        <v/>
      </c>
      <c r="I129" s="16">
        <f>IF(ISBLANK(F129), "", F129 * D129)</f>
        <v/>
      </c>
      <c r="J129" s="17">
        <f>IF(ISBLANK(F129), "⏳ Pending", IF(G129=0, "✅ Match", IF(G129&lt;0, "⚠️ Shortage", "🔺 Surplus")))</f>
        <v/>
      </c>
      <c r="K129" s="18" t="inlineStr">
        <is>
          <t>Small ingredient storage</t>
        </is>
      </c>
    </row>
    <row r="130" ht="21" customHeight="1">
      <c r="A130" s="19" t="inlineStr">
        <is>
          <t>TOO-010</t>
        </is>
      </c>
      <c r="B130" s="20" t="inlineStr">
        <is>
          <t>Stainless Mixing Bowl</t>
        </is>
      </c>
      <c r="C130" s="21" t="inlineStr">
        <is>
          <t>Piece</t>
        </is>
      </c>
      <c r="D130" s="22" t="n">
        <v>260</v>
      </c>
      <c r="E130" s="23" t="n">
        <v>1</v>
      </c>
      <c r="F130" s="13" t="n"/>
      <c r="G130" s="24">
        <f>IF(ISBLANK(F130), "", F130 - E130)</f>
        <v/>
      </c>
      <c r="H130" s="25">
        <f>IF(ISBLANK(F130), "", G130 * D130)</f>
        <v/>
      </c>
      <c r="I130" s="26">
        <f>IF(ISBLANK(F130), "", F130 * D130)</f>
        <v/>
      </c>
      <c r="J130" s="27">
        <f>IF(ISBLANK(F130), "⏳ Pending", IF(G130=0, "✅ Match", IF(G130&lt;0, "⚠️ Shortage", "🔺 Surplus")))</f>
        <v/>
      </c>
      <c r="K130" s="28" t="inlineStr">
        <is>
          <t>Whipping &amp; cream mixing</t>
        </is>
      </c>
    </row>
    <row r="131" ht="21" customHeight="1">
      <c r="A131" s="8" t="inlineStr">
        <is>
          <t>TOO-011</t>
        </is>
      </c>
      <c r="B131" s="9" t="inlineStr">
        <is>
          <t>Ceramic Matcha Bowl / Chawan</t>
        </is>
      </c>
      <c r="C131" s="10" t="inlineStr">
        <is>
          <t>Piece</t>
        </is>
      </c>
      <c r="D131" s="11" t="n">
        <v>90</v>
      </c>
      <c r="E131" s="12" t="n">
        <v>1</v>
      </c>
      <c r="F131" s="13" t="n"/>
      <c r="G131" s="14">
        <f>IF(ISBLANK(F131), "", F131 - E131)</f>
        <v/>
      </c>
      <c r="H131" s="15">
        <f>IF(ISBLANK(F131), "", G131 * D131)</f>
        <v/>
      </c>
      <c r="I131" s="16">
        <f>IF(ISBLANK(F131), "", F131 * D131)</f>
        <v/>
      </c>
      <c r="J131" s="17">
        <f>IF(ISBLANK(F131), "⏳ Pending", IF(G131=0, "✅ Match", IF(G131&lt;0, "⚠️ Shortage", "🔺 Surplus")))</f>
        <v/>
      </c>
      <c r="K131" s="18" t="inlineStr">
        <is>
          <t>Matcha whisking bowl</t>
        </is>
      </c>
    </row>
    <row r="132" ht="21" customHeight="1">
      <c r="A132" s="19" t="inlineStr">
        <is>
          <t>TOO-012</t>
        </is>
      </c>
      <c r="B132" s="20" t="inlineStr">
        <is>
          <t>Espresso Shot Glass (Double Spout)</t>
        </is>
      </c>
      <c r="C132" s="21" t="inlineStr">
        <is>
          <t>Piece</t>
        </is>
      </c>
      <c r="D132" s="22" t="n">
        <v>22</v>
      </c>
      <c r="E132" s="23" t="n">
        <v>1</v>
      </c>
      <c r="F132" s="13" t="n"/>
      <c r="G132" s="24">
        <f>IF(ISBLANK(F132), "", F132 - E132)</f>
        <v/>
      </c>
      <c r="H132" s="25">
        <f>IF(ISBLANK(F132), "", G132 * D132)</f>
        <v/>
      </c>
      <c r="I132" s="26">
        <f>IF(ISBLANK(F132), "", F132 * D132)</f>
        <v/>
      </c>
      <c r="J132" s="27">
        <f>IF(ISBLANK(F132), "⏳ Pending", IF(G132=0, "✅ Match", IF(G132&lt;0, "⚠️ Shortage", "🔺 Surplus")))</f>
        <v/>
      </c>
      <c r="K132" s="28" t="inlineStr">
        <is>
          <t>Espresso calibration shot glass</t>
        </is>
      </c>
    </row>
    <row r="133" ht="21" customHeight="1">
      <c r="A133" s="8" t="inlineStr">
        <is>
          <t>TOO-013</t>
        </is>
      </c>
      <c r="B133" s="9" t="inlineStr">
        <is>
          <t>Chef Kitchen Knife Stainless</t>
        </is>
      </c>
      <c r="C133" s="10" t="inlineStr">
        <is>
          <t>Piece</t>
        </is>
      </c>
      <c r="D133" s="11" t="n">
        <v>192</v>
      </c>
      <c r="E133" s="12" t="n">
        <v>1</v>
      </c>
      <c r="F133" s="13" t="n"/>
      <c r="G133" s="14">
        <f>IF(ISBLANK(F133), "", F133 - E133)</f>
        <v/>
      </c>
      <c r="H133" s="15">
        <f>IF(ISBLANK(F133), "", G133 * D133)</f>
        <v/>
      </c>
      <c r="I133" s="16">
        <f>IF(ISBLANK(F133), "", F133 * D133)</f>
        <v/>
      </c>
      <c r="J133" s="17">
        <f>IF(ISBLANK(F133), "⏳ Pending", IF(G133=0, "✅ Match", IF(G133&lt;0, "⚠️ Shortage", "🔺 Surplus")))</f>
        <v/>
      </c>
      <c r="K133" s="18" t="inlineStr">
        <is>
          <t>Fruit slicing &amp; pastry cutting</t>
        </is>
      </c>
    </row>
    <row r="134" ht="21" customHeight="1">
      <c r="A134" s="19" t="inlineStr">
        <is>
          <t>TOO-014</t>
        </is>
      </c>
      <c r="B134" s="20" t="inlineStr">
        <is>
          <t>Heavy Duty Cutting Board</t>
        </is>
      </c>
      <c r="C134" s="21" t="inlineStr">
        <is>
          <t>Piece</t>
        </is>
      </c>
      <c r="D134" s="22" t="n">
        <v>130</v>
      </c>
      <c r="E134" s="23" t="n">
        <v>1</v>
      </c>
      <c r="F134" s="13" t="n"/>
      <c r="G134" s="24">
        <f>IF(ISBLANK(F134), "", F134 - E134)</f>
        <v/>
      </c>
      <c r="H134" s="25">
        <f>IF(ISBLANK(F134), "", G134 * D134)</f>
        <v/>
      </c>
      <c r="I134" s="26">
        <f>IF(ISBLANK(F134), "", F134 * D134)</f>
        <v/>
      </c>
      <c r="J134" s="27">
        <f>IF(ISBLANK(F134), "⏳ Pending", IF(G134=0, "✅ Match", IF(G134&lt;0, "⚠️ Shortage", "🔺 Surplus")))</f>
        <v/>
      </c>
      <c r="K134" s="28" t="inlineStr">
        <is>
          <t>Food safe chopping board</t>
        </is>
      </c>
    </row>
    <row r="135" ht="21" customHeight="1">
      <c r="A135" s="8" t="inlineStr">
        <is>
          <t>TOO-015</t>
        </is>
      </c>
      <c r="B135" s="9" t="inlineStr">
        <is>
          <t>Can Opener Heavy Duty</t>
        </is>
      </c>
      <c r="C135" s="10" t="inlineStr">
        <is>
          <t>Piece</t>
        </is>
      </c>
      <c r="D135" s="11" t="n">
        <v>129</v>
      </c>
      <c r="E135" s="12" t="n">
        <v>1</v>
      </c>
      <c r="F135" s="13" t="n"/>
      <c r="G135" s="14">
        <f>IF(ISBLANK(F135), "", F135 - E135)</f>
        <v/>
      </c>
      <c r="H135" s="15">
        <f>IF(ISBLANK(F135), "", G135 * D135)</f>
        <v/>
      </c>
      <c r="I135" s="16">
        <f>IF(ISBLANK(F135), "", F135 * D135)</f>
        <v/>
      </c>
      <c r="J135" s="17">
        <f>IF(ISBLANK(F135), "⏳ Pending", IF(G135=0, "✅ Match", IF(G135&lt;0, "⚠️ Shortage", "🔺 Surplus")))</f>
        <v/>
      </c>
      <c r="K135" s="18" t="inlineStr">
        <is>
          <t>Milk &amp; can opener</t>
        </is>
      </c>
    </row>
    <row r="136" ht="21" customHeight="1">
      <c r="A136" s="19" t="inlineStr">
        <is>
          <t>TOO-016</t>
        </is>
      </c>
      <c r="B136" s="20" t="inlineStr">
        <is>
          <t>Utility Kitchen Scissors</t>
        </is>
      </c>
      <c r="C136" s="21" t="inlineStr">
        <is>
          <t>Piece</t>
        </is>
      </c>
      <c r="D136" s="22" t="n">
        <v>119</v>
      </c>
      <c r="E136" s="23" t="n">
        <v>1</v>
      </c>
      <c r="F136" s="13" t="n"/>
      <c r="G136" s="24">
        <f>IF(ISBLANK(F136), "", F136 - E136)</f>
        <v/>
      </c>
      <c r="H136" s="25">
        <f>IF(ISBLANK(F136), "", G136 * D136)</f>
        <v/>
      </c>
      <c r="I136" s="26">
        <f>IF(ISBLANK(F136), "", F136 * D136)</f>
        <v/>
      </c>
      <c r="J136" s="27">
        <f>IF(ISBLANK(F136), "⏳ Pending", IF(G136=0, "✅ Match", IF(G136&lt;0, "⚠️ Shortage", "🔺 Surplus")))</f>
        <v/>
      </c>
      <c r="K136" s="28" t="inlineStr">
        <is>
          <t>Pack opening &amp; prep</t>
        </is>
      </c>
    </row>
    <row r="137" ht="21" customHeight="1">
      <c r="A137" s="8" t="inlineStr">
        <is>
          <t>TOO-017</t>
        </is>
      </c>
      <c r="B137" s="9" t="inlineStr">
        <is>
          <t>Non-Slip Serving Trays</t>
        </is>
      </c>
      <c r="C137" s="10" t="inlineStr">
        <is>
          <t>Pack (2s)</t>
        </is>
      </c>
      <c r="D137" s="11" t="n">
        <v>156</v>
      </c>
      <c r="E137" s="12" t="n">
        <v>2</v>
      </c>
      <c r="F137" s="13" t="n"/>
      <c r="G137" s="14">
        <f>IF(ISBLANK(F137), "", F137 - E137)</f>
        <v/>
      </c>
      <c r="H137" s="15">
        <f>IF(ISBLANK(F137), "", G137 * D137)</f>
        <v/>
      </c>
      <c r="I137" s="16">
        <f>IF(ISBLANK(F137), "", F137 * D137)</f>
        <v/>
      </c>
      <c r="J137" s="17">
        <f>IF(ISBLANK(F137), "⏳ Pending", IF(G137=0, "✅ Match", IF(G137&lt;0, "⚠️ Shortage", "🔺 Surplus")))</f>
        <v/>
      </c>
      <c r="K137" s="18" t="inlineStr">
        <is>
          <t>Dine-in tray service</t>
        </is>
      </c>
    </row>
    <row r="138" ht="21" customHeight="1">
      <c r="A138" s="19" t="inlineStr">
        <is>
          <t>TOO-018</t>
        </is>
      </c>
      <c r="B138" s="20" t="inlineStr">
        <is>
          <t>Condiment Organizer 4-Compartment</t>
        </is>
      </c>
      <c r="C138" s="21" t="inlineStr">
        <is>
          <t>Piece</t>
        </is>
      </c>
      <c r="D138" s="22" t="n">
        <v>420</v>
      </c>
      <c r="E138" s="23" t="n">
        <v>1</v>
      </c>
      <c r="F138" s="13" t="n"/>
      <c r="G138" s="24">
        <f>IF(ISBLANK(F138), "", F138 - E138)</f>
        <v/>
      </c>
      <c r="H138" s="25">
        <f>IF(ISBLANK(F138), "", G138 * D138)</f>
        <v/>
      </c>
      <c r="I138" s="26">
        <f>IF(ISBLANK(F138), "", F138 * D138)</f>
        <v/>
      </c>
      <c r="J138" s="27">
        <f>IF(ISBLANK(F138), "⏳ Pending", IF(G138=0, "✅ Match", IF(G138&lt;0, "⚠️ Shortage", "🔺 Surplus")))</f>
        <v/>
      </c>
      <c r="K138" s="28" t="inlineStr">
        <is>
          <t>Straw &amp; napkin counter caddy</t>
        </is>
      </c>
    </row>
    <row r="139" ht="21" customHeight="1">
      <c r="A139" s="8" t="inlineStr">
        <is>
          <t>TOO-019</t>
        </is>
      </c>
      <c r="B139" s="9" t="inlineStr">
        <is>
          <t>Cup &amp; Lid Dispenser Holder</t>
        </is>
      </c>
      <c r="C139" s="10" t="inlineStr">
        <is>
          <t>Piece</t>
        </is>
      </c>
      <c r="D139" s="11" t="n">
        <v>498</v>
      </c>
      <c r="E139" s="12" t="n">
        <v>1</v>
      </c>
      <c r="F139" s="13" t="n"/>
      <c r="G139" s="14">
        <f>IF(ISBLANK(F139), "", F139 - E139)</f>
        <v/>
      </c>
      <c r="H139" s="15">
        <f>IF(ISBLANK(F139), "", G139 * D139)</f>
        <v/>
      </c>
      <c r="I139" s="16">
        <f>IF(ISBLANK(F139), "", F139 * D139)</f>
        <v/>
      </c>
      <c r="J139" s="17">
        <f>IF(ISBLANK(F139), "⏳ Pending", IF(G139=0, "✅ Match", IF(G139&lt;0, "⚠️ Shortage", "🔺 Surplus")))</f>
        <v/>
      </c>
      <c r="K139" s="18" t="inlineStr">
        <is>
          <t>Countertop cup carousel</t>
        </is>
      </c>
    </row>
    <row r="140" ht="22" customHeight="1">
      <c r="A140" s="29" t="inlineStr">
        <is>
          <t>Subtotal — Bar Tools, Utensils &amp; Smallwares:</t>
        </is>
      </c>
      <c r="B140" s="30" t="n"/>
      <c r="C140" s="30" t="n"/>
      <c r="D140" s="30" t="inlineStr"/>
      <c r="E140" s="31">
        <f>SUM(E121:E139)</f>
        <v/>
      </c>
      <c r="F140" s="31">
        <f>SUM(F121:F139)</f>
        <v/>
      </c>
      <c r="G140" s="32">
        <f>SUM(G121:G139)</f>
        <v/>
      </c>
      <c r="H140" s="33">
        <f>SUM(H121:H139)</f>
        <v/>
      </c>
      <c r="I140" s="34">
        <f>SUM(I121:I139)</f>
        <v/>
      </c>
      <c r="J140" s="30" t="inlineStr"/>
      <c r="K140" s="30" t="inlineStr"/>
    </row>
    <row r="142" ht="24" customHeight="1">
      <c r="A142" s="44" t="inlineStr">
        <is>
          <t xml:space="preserve">  ⚙️  11. EQUIPMENT &amp; STORE FIXTURES</t>
        </is>
      </c>
    </row>
    <row r="143" ht="21" customHeight="1">
      <c r="A143" s="8" t="inlineStr">
        <is>
          <t>EQP-001</t>
        </is>
      </c>
      <c r="B143" s="9" t="inlineStr">
        <is>
          <t>Electric Hand Mixer (High Power)</t>
        </is>
      </c>
      <c r="C143" s="10" t="inlineStr">
        <is>
          <t>Piece</t>
        </is>
      </c>
      <c r="D143" s="11" t="n">
        <v>1510</v>
      </c>
      <c r="E143" s="12" t="n">
        <v>1</v>
      </c>
      <c r="F143" s="13" t="n"/>
      <c r="G143" s="14">
        <f>IF(ISBLANK(F143), "", F143 - E143)</f>
        <v/>
      </c>
      <c r="H143" s="15">
        <f>IF(ISBLANK(F143), "", G143 * D143)</f>
        <v/>
      </c>
      <c r="I143" s="16">
        <f>IF(ISBLANK(F143), "", F143 * D143)</f>
        <v/>
      </c>
      <c r="J143" s="17">
        <f>IF(ISBLANK(F143), "⏳ Pending", IF(G143=0, "✅ Match", IF(G143&lt;0, "⚠️ Shortage", "🔺 Surplus")))</f>
        <v/>
      </c>
      <c r="K143" s="18" t="inlineStr">
        <is>
          <t>Cheese foam / whipping</t>
        </is>
      </c>
    </row>
    <row r="144" ht="21" customHeight="1">
      <c r="A144" s="19" t="inlineStr">
        <is>
          <t>EQP-002</t>
        </is>
      </c>
      <c r="B144" s="20" t="inlineStr">
        <is>
          <t>AWD DO3 Handheld Drink Frother</t>
        </is>
      </c>
      <c r="C144" s="21" t="inlineStr">
        <is>
          <t>Piece</t>
        </is>
      </c>
      <c r="D144" s="22" t="n">
        <v>310</v>
      </c>
      <c r="E144" s="23" t="n">
        <v>1</v>
      </c>
      <c r="F144" s="13" t="n"/>
      <c r="G144" s="24">
        <f>IF(ISBLANK(F144), "", F144 - E144)</f>
        <v/>
      </c>
      <c r="H144" s="25">
        <f>IF(ISBLANK(F144), "", G144 * D144)</f>
        <v/>
      </c>
      <c r="I144" s="26">
        <f>IF(ISBLANK(F144), "", F144 * D144)</f>
        <v/>
      </c>
      <c r="J144" s="27">
        <f>IF(ISBLANK(F144), "⏳ Pending", IF(G144=0, "✅ Match", IF(G144&lt;0, "⚠️ Shortage", "🔺 Surplus")))</f>
        <v/>
      </c>
      <c r="K144" s="28" t="inlineStr">
        <is>
          <t>Single cup frothing</t>
        </is>
      </c>
    </row>
    <row r="145" ht="21" customHeight="1">
      <c r="A145" s="8" t="inlineStr">
        <is>
          <t>EQP-003</t>
        </is>
      </c>
      <c r="B145" s="9" t="inlineStr">
        <is>
          <t>Commercial Insulated Ice Box Chest</t>
        </is>
      </c>
      <c r="C145" s="10" t="inlineStr">
        <is>
          <t>Piece</t>
        </is>
      </c>
      <c r="D145" s="11" t="n">
        <v>784</v>
      </c>
      <c r="E145" s="12" t="n">
        <v>1</v>
      </c>
      <c r="F145" s="13" t="n"/>
      <c r="G145" s="14">
        <f>IF(ISBLANK(F145), "", F145 - E145)</f>
        <v/>
      </c>
      <c r="H145" s="15">
        <f>IF(ISBLANK(F145), "", G145 * D145)</f>
        <v/>
      </c>
      <c r="I145" s="16">
        <f>IF(ISBLANK(F145), "", F145 * D145)</f>
        <v/>
      </c>
      <c r="J145" s="17">
        <f>IF(ISBLANK(F145), "⏳ Pending", IF(G145=0, "✅ Match", IF(G145&lt;0, "⚠️ Shortage", "🔺 Surplus")))</f>
        <v/>
      </c>
      <c r="K145" s="18" t="inlineStr">
        <is>
          <t>Bar ice storage container</t>
        </is>
      </c>
    </row>
    <row r="146" ht="21" customHeight="1">
      <c r="A146" s="19" t="inlineStr">
        <is>
          <t>EQP-004</t>
        </is>
      </c>
      <c r="B146" s="20" t="inlineStr">
        <is>
          <t>Heavy Duty Steel Cash Box with Lock</t>
        </is>
      </c>
      <c r="C146" s="21" t="inlineStr">
        <is>
          <t>Piece</t>
        </is>
      </c>
      <c r="D146" s="22" t="n">
        <v>530</v>
      </c>
      <c r="E146" s="23" t="n">
        <v>1</v>
      </c>
      <c r="F146" s="13" t="n"/>
      <c r="G146" s="24">
        <f>IF(ISBLANK(F146), "", F146 - E146)</f>
        <v/>
      </c>
      <c r="H146" s="25">
        <f>IF(ISBLANK(F146), "", G146 * D146)</f>
        <v/>
      </c>
      <c r="I146" s="26">
        <f>IF(ISBLANK(F146), "", F146 * D146)</f>
        <v/>
      </c>
      <c r="J146" s="27">
        <f>IF(ISBLANK(F146), "⏳ Pending", IF(G146=0, "✅ Match", IF(G146&lt;0, "⚠️ Shortage", "🔺 Surplus")))</f>
        <v/>
      </c>
      <c r="K146" s="28" t="inlineStr">
        <is>
          <t>POS register petty cash box</t>
        </is>
      </c>
    </row>
    <row r="147" ht="21" customHeight="1">
      <c r="A147" s="8" t="inlineStr">
        <is>
          <t>EQP-005</t>
        </is>
      </c>
      <c r="B147" s="9" t="inlineStr">
        <is>
          <t>Akari Heavy Duty Power Adaptor</t>
        </is>
      </c>
      <c r="C147" s="10" t="inlineStr">
        <is>
          <t>Piece</t>
        </is>
      </c>
      <c r="D147" s="11" t="n">
        <v>69</v>
      </c>
      <c r="E147" s="12" t="n">
        <v>1</v>
      </c>
      <c r="F147" s="13" t="n"/>
      <c r="G147" s="14">
        <f>IF(ISBLANK(F147), "", F147 - E147)</f>
        <v/>
      </c>
      <c r="H147" s="15">
        <f>IF(ISBLANK(F147), "", G147 * D147)</f>
        <v/>
      </c>
      <c r="I147" s="16">
        <f>IF(ISBLANK(F147), "", F147 * D147)</f>
        <v/>
      </c>
      <c r="J147" s="17">
        <f>IF(ISBLANK(F147), "⏳ Pending", IF(G147=0, "✅ Match", IF(G147&lt;0, "⚠️ Shortage", "🔺 Surplus")))</f>
        <v/>
      </c>
      <c r="K147" s="18" t="inlineStr">
        <is>
          <t>Appliance surge plug</t>
        </is>
      </c>
    </row>
    <row r="148" ht="21" customHeight="1">
      <c r="A148" s="19" t="inlineStr">
        <is>
          <t>EQP-006</t>
        </is>
      </c>
      <c r="B148" s="20" t="inlineStr">
        <is>
          <t>Universal Surge Protected Power Strip</t>
        </is>
      </c>
      <c r="C148" s="21" t="inlineStr">
        <is>
          <t>Piece</t>
        </is>
      </c>
      <c r="D148" s="22" t="n">
        <v>298</v>
      </c>
      <c r="E148" s="23" t="n">
        <v>1</v>
      </c>
      <c r="F148" s="13" t="n"/>
      <c r="G148" s="24">
        <f>IF(ISBLANK(F148), "", F148 - E148)</f>
        <v/>
      </c>
      <c r="H148" s="25">
        <f>IF(ISBLANK(F148), "", G148 * D148)</f>
        <v/>
      </c>
      <c r="I148" s="26">
        <f>IF(ISBLANK(F148), "", F148 * D148)</f>
        <v/>
      </c>
      <c r="J148" s="27">
        <f>IF(ISBLANK(F148), "⏳ Pending", IF(G148=0, "✅ Match", IF(G148&lt;0, "⚠️ Shortage", "🔺 Surplus")))</f>
        <v/>
      </c>
      <c r="K148" s="28" t="inlineStr">
        <is>
          <t>POS &amp; equipment power strip</t>
        </is>
      </c>
    </row>
    <row r="149" ht="21" customHeight="1">
      <c r="A149" s="8" t="inlineStr">
        <is>
          <t>EQP-007</t>
        </is>
      </c>
      <c r="B149" s="9" t="inlineStr">
        <is>
          <t>Barista Recipe Manual &amp; Store Record Book</t>
        </is>
      </c>
      <c r="C149" s="10" t="inlineStr">
        <is>
          <t>Piece</t>
        </is>
      </c>
      <c r="D149" s="11" t="n">
        <v>72</v>
      </c>
      <c r="E149" s="12" t="n">
        <v>1</v>
      </c>
      <c r="F149" s="13" t="n"/>
      <c r="G149" s="14">
        <f>IF(ISBLANK(F149), "", F149 - E149)</f>
        <v/>
      </c>
      <c r="H149" s="15">
        <f>IF(ISBLANK(F149), "", G149 * D149)</f>
        <v/>
      </c>
      <c r="I149" s="16">
        <f>IF(ISBLANK(F149), "", F149 * D149)</f>
        <v/>
      </c>
      <c r="J149" s="17">
        <f>IF(ISBLANK(F149), "⏳ Pending", IF(G149=0, "✅ Match", IF(G149&lt;0, "⚠️ Shortage", "🔺 Surplus")))</f>
        <v/>
      </c>
      <c r="K149" s="18" t="inlineStr">
        <is>
          <t>Official store logbook</t>
        </is>
      </c>
    </row>
    <row r="150" ht="21" customHeight="1">
      <c r="A150" s="19" t="inlineStr">
        <is>
          <t>EQP-008</t>
        </is>
      </c>
      <c r="B150" s="20" t="inlineStr">
        <is>
          <t>Commercial Foot-Pedal Trash Can 30L</t>
        </is>
      </c>
      <c r="C150" s="21" t="inlineStr">
        <is>
          <t>Piece</t>
        </is>
      </c>
      <c r="D150" s="22" t="n">
        <v>850</v>
      </c>
      <c r="E150" s="23" t="n">
        <v>1</v>
      </c>
      <c r="F150" s="13" t="n"/>
      <c r="G150" s="24">
        <f>IF(ISBLANK(F150), "", F150 - E150)</f>
        <v/>
      </c>
      <c r="H150" s="25">
        <f>IF(ISBLANK(F150), "", G150 * D150)</f>
        <v/>
      </c>
      <c r="I150" s="26">
        <f>IF(ISBLANK(F150), "", F150 * D150)</f>
        <v/>
      </c>
      <c r="J150" s="27">
        <f>IF(ISBLANK(F150), "⏳ Pending", IF(G150=0, "✅ Match", IF(G150&lt;0, "⚠️ Shortage", "🔺 Surplus")))</f>
        <v/>
      </c>
      <c r="K150" s="28" t="inlineStr">
        <is>
          <t>Sanitary waste disposal</t>
        </is>
      </c>
    </row>
    <row r="151" ht="22" customHeight="1">
      <c r="A151" s="29" t="inlineStr">
        <is>
          <t>Subtotal — Equipment &amp; Store Fixtures:</t>
        </is>
      </c>
      <c r="B151" s="30" t="n"/>
      <c r="C151" s="30" t="n"/>
      <c r="D151" s="30" t="inlineStr"/>
      <c r="E151" s="31">
        <f>SUM(E143:E150)</f>
        <v/>
      </c>
      <c r="F151" s="31">
        <f>SUM(F143:F150)</f>
        <v/>
      </c>
      <c r="G151" s="32">
        <f>SUM(G143:G150)</f>
        <v/>
      </c>
      <c r="H151" s="33">
        <f>SUM(H143:H150)</f>
        <v/>
      </c>
      <c r="I151" s="34">
        <f>SUM(I143:I150)</f>
        <v/>
      </c>
      <c r="J151" s="30" t="inlineStr"/>
      <c r="K151" s="30" t="inlineStr"/>
    </row>
    <row r="153" ht="24" customHeight="1">
      <c r="A153" s="45" t="inlineStr">
        <is>
          <t xml:space="preserve">  🧼  12. CLEANING, HYGIENE &amp; MAINTENANCE</t>
        </is>
      </c>
    </row>
    <row r="154" ht="21" customHeight="1">
      <c r="A154" s="8" t="inlineStr">
        <is>
          <t>CLN-001</t>
        </is>
      </c>
      <c r="B154" s="9" t="inlineStr">
        <is>
          <t>Dr. Coffee Espresso Descaling Powder</t>
        </is>
      </c>
      <c r="C154" s="10" t="inlineStr">
        <is>
          <t>Bot</t>
        </is>
      </c>
      <c r="D154" s="11" t="n">
        <v>1000</v>
      </c>
      <c r="E154" s="12" t="n">
        <v>1</v>
      </c>
      <c r="F154" s="13" t="n"/>
      <c r="G154" s="14">
        <f>IF(ISBLANK(F154), "", F154 - E154)</f>
        <v/>
      </c>
      <c r="H154" s="15">
        <f>IF(ISBLANK(F154), "", G154 * D154)</f>
        <v/>
      </c>
      <c r="I154" s="16">
        <f>IF(ISBLANK(F154), "", F154 * D154)</f>
        <v/>
      </c>
      <c r="J154" s="17">
        <f>IF(ISBLANK(F154), "⏳ Pending", IF(G154=0, "✅ Match", IF(G154&lt;0, "⚠️ Shortage", "🔺 Surplus")))</f>
        <v/>
      </c>
      <c r="K154" s="18" t="inlineStr">
        <is>
          <t>Espresso boiler descaling</t>
        </is>
      </c>
    </row>
    <row r="155" ht="21" customHeight="1">
      <c r="A155" s="19" t="inlineStr">
        <is>
          <t>CLN-002</t>
        </is>
      </c>
      <c r="B155" s="20" t="inlineStr">
        <is>
          <t>Dr. Coffee Milk Line Deep Clean Solution</t>
        </is>
      </c>
      <c r="C155" s="21" t="inlineStr">
        <is>
          <t>Bot</t>
        </is>
      </c>
      <c r="D155" s="22" t="n">
        <v>2800</v>
      </c>
      <c r="E155" s="23" t="n">
        <v>1</v>
      </c>
      <c r="F155" s="13" t="n"/>
      <c r="G155" s="24">
        <f>IF(ISBLANK(F155), "", F155 - E155)</f>
        <v/>
      </c>
      <c r="H155" s="25">
        <f>IF(ISBLANK(F155), "", G155 * D155)</f>
        <v/>
      </c>
      <c r="I155" s="26">
        <f>IF(ISBLANK(F155), "", F155 * D155)</f>
        <v/>
      </c>
      <c r="J155" s="27">
        <f>IF(ISBLANK(F155), "⏳ Pending", IF(G155=0, "✅ Match", IF(G155&lt;0, "⚠️ Shortage", "🔺 Surplus")))</f>
        <v/>
      </c>
      <c r="K155" s="28" t="inlineStr">
        <is>
          <t>Steam wand &amp; pipe sanitizer</t>
        </is>
      </c>
    </row>
    <row r="156" ht="21" customHeight="1">
      <c r="A156" s="8" t="inlineStr">
        <is>
          <t>CLN-003</t>
        </is>
      </c>
      <c r="B156" s="9" t="inlineStr">
        <is>
          <t>Microfiber Bar Towels / Cleaning Cloths</t>
        </is>
      </c>
      <c r="C156" s="10" t="inlineStr">
        <is>
          <t>Piece</t>
        </is>
      </c>
      <c r="D156" s="11" t="n">
        <v>115</v>
      </c>
      <c r="E156" s="12" t="n">
        <v>2</v>
      </c>
      <c r="F156" s="13" t="n"/>
      <c r="G156" s="14">
        <f>IF(ISBLANK(F156), "", F156 - E156)</f>
        <v/>
      </c>
      <c r="H156" s="15">
        <f>IF(ISBLANK(F156), "", G156 * D156)</f>
        <v/>
      </c>
      <c r="I156" s="16">
        <f>IF(ISBLANK(F156), "", F156 * D156)</f>
        <v/>
      </c>
      <c r="J156" s="17">
        <f>IF(ISBLANK(F156), "⏳ Pending", IF(G156=0, "✅ Match", IF(G156&lt;0, "⚠️ Shortage", "🔺 Surplus")))</f>
        <v/>
      </c>
      <c r="K156" s="18" t="inlineStr">
        <is>
          <t>Bar wipe &amp; steam wand towel</t>
        </is>
      </c>
    </row>
    <row r="157" ht="21" customHeight="1">
      <c r="A157" s="19" t="inlineStr">
        <is>
          <t>CLN-004</t>
        </is>
      </c>
      <c r="B157" s="20" t="inlineStr">
        <is>
          <t>Heavy Duty Black Garbage Bags 26x32 (50s)</t>
        </is>
      </c>
      <c r="C157" s="21" t="inlineStr">
        <is>
          <t>Pack (50s)</t>
        </is>
      </c>
      <c r="D157" s="22" t="n">
        <v>300</v>
      </c>
      <c r="E157" s="23" t="n">
        <v>1</v>
      </c>
      <c r="F157" s="13" t="n"/>
      <c r="G157" s="24">
        <f>IF(ISBLANK(F157), "", F157 - E157)</f>
        <v/>
      </c>
      <c r="H157" s="25">
        <f>IF(ISBLANK(F157), "", G157 * D157)</f>
        <v/>
      </c>
      <c r="I157" s="26">
        <f>IF(ISBLANK(F157), "", F157 * D157)</f>
        <v/>
      </c>
      <c r="J157" s="27">
        <f>IF(ISBLANK(F157), "⏳ Pending", IF(G157=0, "✅ Match", IF(G157&lt;0, "⚠️ Shortage", "🔺 Surplus")))</f>
        <v/>
      </c>
      <c r="K157" s="28" t="inlineStr">
        <is>
          <t>Waste bin liners</t>
        </is>
      </c>
    </row>
    <row r="158" ht="21" customHeight="1">
      <c r="A158" s="8" t="inlineStr">
        <is>
          <t>CLN-005</t>
        </is>
      </c>
      <c r="B158" s="9" t="inlineStr">
        <is>
          <t>Heavy Duty Packaging &amp; Masking Tape</t>
        </is>
      </c>
      <c r="C158" s="10" t="inlineStr">
        <is>
          <t>Piece</t>
        </is>
      </c>
      <c r="D158" s="11" t="n">
        <v>159</v>
      </c>
      <c r="E158" s="12" t="n">
        <v>1</v>
      </c>
      <c r="F158" s="13" t="n"/>
      <c r="G158" s="14">
        <f>IF(ISBLANK(F158), "", F158 - E158)</f>
        <v/>
      </c>
      <c r="H158" s="15">
        <f>IF(ISBLANK(F158), "", G158 * D158)</f>
        <v/>
      </c>
      <c r="I158" s="16">
        <f>IF(ISBLANK(F158), "", F158 * D158)</f>
        <v/>
      </c>
      <c r="J158" s="17">
        <f>IF(ISBLANK(F158), "⏳ Pending", IF(G158=0, "✅ Match", IF(G158&lt;0, "⚠️ Shortage", "🔺 Surplus")))</f>
        <v/>
      </c>
      <c r="K158" s="18" t="inlineStr">
        <is>
          <t>Box sealing &amp; date labels</t>
        </is>
      </c>
    </row>
    <row r="159" ht="21" customHeight="1">
      <c r="A159" s="19" t="inlineStr">
        <is>
          <t>CLN-006</t>
        </is>
      </c>
      <c r="B159" s="20" t="inlineStr">
        <is>
          <t>Whiteboard Marker &amp; Shelf Label Pens</t>
        </is>
      </c>
      <c r="C159" s="21" t="inlineStr">
        <is>
          <t>Piece</t>
        </is>
      </c>
      <c r="D159" s="22" t="n">
        <v>64</v>
      </c>
      <c r="E159" s="23" t="n">
        <v>1</v>
      </c>
      <c r="F159" s="13" t="n"/>
      <c r="G159" s="24">
        <f>IF(ISBLANK(F159), "", F159 - E159)</f>
        <v/>
      </c>
      <c r="H159" s="25">
        <f>IF(ISBLANK(F159), "", G159 * D159)</f>
        <v/>
      </c>
      <c r="I159" s="26">
        <f>IF(ISBLANK(F159), "", F159 * D159)</f>
        <v/>
      </c>
      <c r="J159" s="27">
        <f>IF(ISBLANK(F159), "⏳ Pending", IF(G159=0, "✅ Match", IF(G159&lt;0, "⚠️ Shortage", "🔺 Surplus")))</f>
        <v/>
      </c>
      <c r="K159" s="28" t="inlineStr">
        <is>
          <t>Store menu board &amp; dating</t>
        </is>
      </c>
    </row>
    <row r="160" ht="21" customHeight="1">
      <c r="A160" s="8" t="inlineStr">
        <is>
          <t>CLN-007</t>
        </is>
      </c>
      <c r="B160" s="9" t="inlineStr">
        <is>
          <t>Store Promotional Balloons &amp; Hand Pump</t>
        </is>
      </c>
      <c r="C160" s="10" t="inlineStr">
        <is>
          <t>Set</t>
        </is>
      </c>
      <c r="D160" s="11" t="n">
        <v>104</v>
      </c>
      <c r="E160" s="12" t="n">
        <v>1</v>
      </c>
      <c r="F160" s="13" t="n"/>
      <c r="G160" s="14">
        <f>IF(ISBLANK(F160), "", F160 - E160)</f>
        <v/>
      </c>
      <c r="H160" s="15">
        <f>IF(ISBLANK(F160), "", G160 * D160)</f>
        <v/>
      </c>
      <c r="I160" s="16">
        <f>IF(ISBLANK(F160), "", F160 * D160)</f>
        <v/>
      </c>
      <c r="J160" s="17">
        <f>IF(ISBLANK(F160), "⏳ Pending", IF(G160=0, "✅ Match", IF(G160&lt;0, "⚠️ Shortage", "🔺 Surplus")))</f>
        <v/>
      </c>
      <c r="K160" s="18" t="inlineStr">
        <is>
          <t>Marketing &amp; events kit</t>
        </is>
      </c>
    </row>
    <row r="161" ht="22" customHeight="1">
      <c r="A161" s="29" t="inlineStr">
        <is>
          <t>Subtotal — Cleaning, Hygiene &amp; Maintenance:</t>
        </is>
      </c>
      <c r="B161" s="30" t="n"/>
      <c r="C161" s="30" t="n"/>
      <c r="D161" s="30" t="inlineStr"/>
      <c r="E161" s="31">
        <f>SUM(E154:E160)</f>
        <v/>
      </c>
      <c r="F161" s="31">
        <f>SUM(F154:F160)</f>
        <v/>
      </c>
      <c r="G161" s="32">
        <f>SUM(G154:G160)</f>
        <v/>
      </c>
      <c r="H161" s="33">
        <f>SUM(H154:H160)</f>
        <v/>
      </c>
      <c r="I161" s="34">
        <f>SUM(I154:I160)</f>
        <v/>
      </c>
      <c r="J161" s="30" t="inlineStr"/>
      <c r="K161" s="30" t="inlineStr"/>
    </row>
    <row r="163" ht="26" customHeight="1">
      <c r="A163" s="46" t="inlineStr">
        <is>
          <t>🏆 GRAND TOTAL (AUDIT SUMMARY):</t>
        </is>
      </c>
      <c r="B163" s="47" t="n"/>
      <c r="C163" s="47" t="n"/>
      <c r="D163" s="47" t="n"/>
      <c r="E163" s="48">
        <f>SUM(E15, E24, E46, E61, E72, E85, E97, E104, E118, E140, E151, E161)</f>
        <v/>
      </c>
      <c r="F163" s="48">
        <f>SUM(F15, F24, F46, F61, F72, F85, F97, F104, F118, F140, F151, F161)</f>
        <v/>
      </c>
      <c r="G163" s="49">
        <f>SUM(G15, G24, G46, G61, G72, G85, G97, G104, G118, G140, G151, G161)</f>
        <v/>
      </c>
      <c r="H163" s="50">
        <f>SUM(H15, H24, H46, H61, H72, H85, H97, H104, H118, H140, H151, H161)</f>
        <v/>
      </c>
      <c r="I163" s="51">
        <f>SUM(I15, I24, I46, I61, I72, I85, I97, I104, I118, I140, I151, I161)</f>
        <v/>
      </c>
      <c r="J163" s="47" t="n"/>
      <c r="K163" s="47" t="n"/>
    </row>
    <row r="166">
      <c r="B166" s="52" t="inlineStr">
        <is>
          <t>Conducted By (Barista Signature): ____________________</t>
        </is>
      </c>
      <c r="F166" s="52" t="inlineStr">
        <is>
          <t>Audited &amp; Accepted By (Manager Signature): ____________________</t>
        </is>
      </c>
    </row>
    <row r="167">
      <c r="B167" s="53" t="inlineStr">
        <is>
          <t>Time Completed: ____________________</t>
        </is>
      </c>
      <c r="F167" s="53" t="inlineStr">
        <is>
          <t>Date Approved: ____________________</t>
        </is>
      </c>
    </row>
  </sheetData>
  <mergeCells count="33">
    <mergeCell ref="A48:K48"/>
    <mergeCell ref="A118:C118"/>
    <mergeCell ref="A46:C46"/>
    <mergeCell ref="A142:K142"/>
    <mergeCell ref="E5:F5"/>
    <mergeCell ref="A163:C163"/>
    <mergeCell ref="A1:K1"/>
    <mergeCell ref="A104:C104"/>
    <mergeCell ref="E4:F4"/>
    <mergeCell ref="A151:C151"/>
    <mergeCell ref="A85:C85"/>
    <mergeCell ref="A153:K153"/>
    <mergeCell ref="A87:K87"/>
    <mergeCell ref="A97:C97"/>
    <mergeCell ref="A99:K99"/>
    <mergeCell ref="A140:C140"/>
    <mergeCell ref="A72:C72"/>
    <mergeCell ref="A120:K120"/>
    <mergeCell ref="A161:C161"/>
    <mergeCell ref="A74:K74"/>
    <mergeCell ref="A26:K26"/>
    <mergeCell ref="A5:B5"/>
    <mergeCell ref="A2:K2"/>
    <mergeCell ref="I5:J5"/>
    <mergeCell ref="A15:C15"/>
    <mergeCell ref="A24:C24"/>
    <mergeCell ref="A17:K17"/>
    <mergeCell ref="A8:K8"/>
    <mergeCell ref="A4:B4"/>
    <mergeCell ref="A106:K106"/>
    <mergeCell ref="I4:J4"/>
    <mergeCell ref="A61:C61"/>
    <mergeCell ref="A63:K63"/>
  </mergeCells>
  <conditionalFormatting sqref="G9:H160">
    <cfRule type="cellIs" priority="1" operator="lessThan" dxfId="0" stopIfTrue="1">
      <formula>0</formula>
    </cfRule>
    <cfRule type="cellIs" priority="2" operator="greaterThanOrEqual" dxfId="1" stopIfTrue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5" customWidth="1" min="4" max="4"/>
    <col width="15" customWidth="1" min="5" max="5"/>
    <col width="21" customWidth="1" min="6" max="6"/>
    <col width="16" customWidth="1" min="7" max="7"/>
    <col width="18" customWidth="1" min="8" max="8"/>
    <col width="20" customWidth="1" min="9" max="9"/>
    <col width="16" customWidth="1" min="10" max="10"/>
    <col width="32" customWidth="1" min="11" max="11"/>
  </cols>
  <sheetData>
    <row r="1" ht="28" customHeight="1">
      <c r="A1" s="1" t="inlineStr">
        <is>
          <t>☕ ESPRESSO YOURSELF &amp; TEA HOUSE — PHYSICAL INVENTORY AUDIT</t>
        </is>
      </c>
    </row>
    <row r="2" ht="18" customHeight="1">
      <c r="A2" s="2" t="inlineStr">
        <is>
          <t>Branch: Cebu City (#30)  |  Audit Section: Bar Consumables &amp; Packaging  |  Generated for Today's Stock Count</t>
        </is>
      </c>
    </row>
    <row r="4" ht="22" customHeight="1">
      <c r="A4" s="3" t="inlineStr">
        <is>
          <t>AUDIT DATE:</t>
        </is>
      </c>
      <c r="C4" s="4" t="inlineStr">
        <is>
          <t>September 15, 2026</t>
        </is>
      </c>
      <c r="E4" s="3" t="inlineStr">
        <is>
          <t>COUNTED BY (BARISTA):</t>
        </is>
      </c>
      <c r="G4" s="4" t="inlineStr">
        <is>
          <t>________________________</t>
        </is>
      </c>
      <c r="I4" s="3" t="inlineStr">
        <is>
          <t>STATUS:</t>
        </is>
      </c>
      <c r="K4" s="4" t="inlineStr">
        <is>
          <t>READY FOR COUNT</t>
        </is>
      </c>
    </row>
    <row r="5" ht="22" customHeight="1">
      <c r="A5" s="3" t="inlineStr">
        <is>
          <t>STORE SHIFT:</t>
        </is>
      </c>
      <c r="C5" s="4" t="inlineStr">
        <is>
          <t>All-Day / Closing Audit</t>
        </is>
      </c>
      <c r="E5" s="3" t="inlineStr">
        <is>
          <t>VERIFIED BY (SUPERVISOR):</t>
        </is>
      </c>
      <c r="G5" s="4" t="inlineStr">
        <is>
          <t>________________________</t>
        </is>
      </c>
      <c r="I5" s="3" t="inlineStr">
        <is>
          <t>DISCREPANCY ACTION:</t>
        </is>
      </c>
      <c r="K5" s="4" t="inlineStr">
        <is>
          <t>Requires Manager Sign-off</t>
        </is>
      </c>
    </row>
    <row r="7" ht="28" customHeight="1">
      <c r="A7" s="5" t="inlineStr">
        <is>
          <t>SKU / CODE</t>
        </is>
      </c>
      <c r="B7" s="5" t="inlineStr">
        <is>
          <t>ITEM DESCRIPTION &amp; SPECS</t>
        </is>
      </c>
      <c r="C7" s="5" t="inlineStr">
        <is>
          <t>UOM</t>
        </is>
      </c>
      <c r="D7" s="5" t="inlineStr">
        <is>
          <t>UNIT COST (₱)</t>
        </is>
      </c>
      <c r="E7" s="5" t="inlineStr">
        <is>
          <t>SYSTEM STOCK</t>
        </is>
      </c>
      <c r="F7" s="6" t="inlineStr">
        <is>
          <t>★ PHYSICAL COUNT ★</t>
        </is>
      </c>
      <c r="G7" s="5" t="inlineStr">
        <is>
          <t>VARIANCE (QTY)</t>
        </is>
      </c>
      <c r="H7" s="5" t="inlineStr">
        <is>
          <t>VARIANCE VALUE (₱)</t>
        </is>
      </c>
      <c r="I7" s="5" t="inlineStr">
        <is>
          <t>TOTAL COUNT VALUE (₱)</t>
        </is>
      </c>
      <c r="J7" s="5" t="inlineStr">
        <is>
          <t>AUDIT STATUS</t>
        </is>
      </c>
      <c r="K7" s="5" t="inlineStr">
        <is>
          <t>BARISTA REMARKS / EXPIRY</t>
        </is>
      </c>
    </row>
    <row r="8" ht="24" customHeight="1">
      <c r="A8" s="7" t="inlineStr">
        <is>
          <t xml:space="preserve">  ☕  1. COFFEE BEANS &amp; DRINK BASES</t>
        </is>
      </c>
    </row>
    <row r="9" ht="21" customHeight="1">
      <c r="A9" s="8" t="inlineStr">
        <is>
          <t>ING-001</t>
        </is>
      </c>
      <c r="B9" s="9" t="inlineStr">
        <is>
          <t>Concept Blend 1 (Espresso Beans)</t>
        </is>
      </c>
      <c r="C9" s="10" t="inlineStr">
        <is>
          <t>Pack (1kg)</t>
        </is>
      </c>
      <c r="D9" s="11" t="n">
        <v>980</v>
      </c>
      <c r="E9" s="12" t="n">
        <v>6.27</v>
      </c>
      <c r="F9" s="13" t="n"/>
      <c r="G9" s="14">
        <f>IF(ISBLANK(F9), "", F9 - E9)</f>
        <v/>
      </c>
      <c r="H9" s="15">
        <f>IF(ISBLANK(F9), "", G9 * D9)</f>
        <v/>
      </c>
      <c r="I9" s="16">
        <f>IF(ISBLANK(F9), "", F9 * D9)</f>
        <v/>
      </c>
      <c r="J9" s="17">
        <f>IF(ISBLANK(F9), "⏳ Pending", IF(G9=0, "✅ Match", IF(G9&lt;0, "⚠️ Shortage", "🔺 Surplus")))</f>
        <v/>
      </c>
      <c r="K9" s="18" t="inlineStr">
        <is>
          <t>Main house espresso blend</t>
        </is>
      </c>
    </row>
    <row r="10" ht="21" customHeight="1">
      <c r="A10" s="19" t="inlineStr">
        <is>
          <t>ING-002</t>
        </is>
      </c>
      <c r="B10" s="20" t="inlineStr">
        <is>
          <t>Australia's Own Coffee Blend</t>
        </is>
      </c>
      <c r="C10" s="21" t="inlineStr">
        <is>
          <t>Pack</t>
        </is>
      </c>
      <c r="D10" s="22" t="n">
        <v>204</v>
      </c>
      <c r="E10" s="23" t="n">
        <v>1</v>
      </c>
      <c r="F10" s="13" t="n"/>
      <c r="G10" s="24">
        <f>IF(ISBLANK(F10), "", F10 - E10)</f>
        <v/>
      </c>
      <c r="H10" s="25">
        <f>IF(ISBLANK(F10), "", G10 * D10)</f>
        <v/>
      </c>
      <c r="I10" s="26">
        <f>IF(ISBLANK(F10), "", F10 * D10)</f>
        <v/>
      </c>
      <c r="J10" s="27">
        <f>IF(ISBLANK(F10), "⏳ Pending", IF(G10=0, "✅ Match", IF(G10&lt;0, "⚠️ Shortage", "🔺 Surplus")))</f>
        <v/>
      </c>
      <c r="K10" s="28" t="inlineStr">
        <is>
          <t>Specialty roast</t>
        </is>
      </c>
    </row>
    <row r="11" ht="21" customHeight="1">
      <c r="A11" s="8" t="inlineStr">
        <is>
          <t>ING-003</t>
        </is>
      </c>
      <c r="B11" s="9" t="inlineStr">
        <is>
          <t>Easy Dark Chocolate Base 1kg</t>
        </is>
      </c>
      <c r="C11" s="10" t="inlineStr">
        <is>
          <t>Pack (1kg)</t>
        </is>
      </c>
      <c r="D11" s="11" t="n">
        <v>396</v>
      </c>
      <c r="E11" s="12" t="n">
        <v>1</v>
      </c>
      <c r="F11" s="13" t="n"/>
      <c r="G11" s="14">
        <f>IF(ISBLANK(F11), "", F11 - E11)</f>
        <v/>
      </c>
      <c r="H11" s="15">
        <f>IF(ISBLANK(F11), "", G11 * D11)</f>
        <v/>
      </c>
      <c r="I11" s="16">
        <f>IF(ISBLANK(F11), "", F11 * D11)</f>
        <v/>
      </c>
      <c r="J11" s="17">
        <f>IF(ISBLANK(F11), "⏳ Pending", IF(G11=0, "✅ Match", IF(G11&lt;0, "⚠️ Shortage", "🔺 Surplus")))</f>
        <v/>
      </c>
      <c r="K11" s="18" t="inlineStr">
        <is>
          <t>Mocha &amp; Hot Choco base powder</t>
        </is>
      </c>
    </row>
    <row r="12" ht="21" customHeight="1">
      <c r="A12" s="19" t="inlineStr">
        <is>
          <t>ING-004</t>
        </is>
      </c>
      <c r="B12" s="20" t="inlineStr">
        <is>
          <t>Easy Cookies &amp; Cream Powder 1kg</t>
        </is>
      </c>
      <c r="C12" s="21" t="inlineStr">
        <is>
          <t>Pack (1kg)</t>
        </is>
      </c>
      <c r="D12" s="22" t="n">
        <v>305</v>
      </c>
      <c r="E12" s="23" t="n">
        <v>1</v>
      </c>
      <c r="F12" s="13" t="n"/>
      <c r="G12" s="24">
        <f>IF(ISBLANK(F12), "", F12 - E12)</f>
        <v/>
      </c>
      <c r="H12" s="25">
        <f>IF(ISBLANK(F12), "", G12 * D12)</f>
        <v/>
      </c>
      <c r="I12" s="26">
        <f>IF(ISBLANK(F12), "", F12 * D12)</f>
        <v/>
      </c>
      <c r="J12" s="27">
        <f>IF(ISBLANK(F12), "⏳ Pending", IF(G12=0, "✅ Match", IF(G12&lt;0, "⚠️ Shortage", "🔺 Surplus")))</f>
        <v/>
      </c>
      <c r="K12" s="28" t="inlineStr">
        <is>
          <t>Blended frappe &amp; Oreo base</t>
        </is>
      </c>
    </row>
    <row r="13" ht="21" customHeight="1">
      <c r="A13" s="8" t="inlineStr">
        <is>
          <t>ING-005</t>
        </is>
      </c>
      <c r="B13" s="9" t="inlineStr">
        <is>
          <t>Bakersfield Caramel Fudge 1kg</t>
        </is>
      </c>
      <c r="C13" s="10" t="inlineStr">
        <is>
          <t>Pack (1kg)</t>
        </is>
      </c>
      <c r="D13" s="11" t="n">
        <v>415</v>
      </c>
      <c r="E13" s="12" t="n">
        <v>1</v>
      </c>
      <c r="F13" s="13" t="n"/>
      <c r="G13" s="14">
        <f>IF(ISBLANK(F13), "", F13 - E13)</f>
        <v/>
      </c>
      <c r="H13" s="15">
        <f>IF(ISBLANK(F13), "", G13 * D13)</f>
        <v/>
      </c>
      <c r="I13" s="16">
        <f>IF(ISBLANK(F13), "", F13 * D13)</f>
        <v/>
      </c>
      <c r="J13" s="17">
        <f>IF(ISBLANK(F13), "⏳ Pending", IF(G13=0, "✅ Match", IF(G13&lt;0, "⚠️ Shortage", "🔺 Surplus")))</f>
        <v/>
      </c>
      <c r="K13" s="18" t="inlineStr">
        <is>
          <t>Caramel drizzle &amp; drink base</t>
        </is>
      </c>
    </row>
    <row r="14" ht="21" customHeight="1">
      <c r="A14" s="19" t="inlineStr">
        <is>
          <t>ING-006</t>
        </is>
      </c>
      <c r="B14" s="20" t="inlineStr">
        <is>
          <t>Whoop Classic Ube Taro Powder 1kg</t>
        </is>
      </c>
      <c r="C14" s="21" t="inlineStr">
        <is>
          <t>Pack (1kg)</t>
        </is>
      </c>
      <c r="D14" s="22" t="n">
        <v>380</v>
      </c>
      <c r="E14" s="23" t="n">
        <v>1</v>
      </c>
      <c r="F14" s="13" t="n"/>
      <c r="G14" s="24">
        <f>IF(ISBLANK(F14), "", F14 - E14)</f>
        <v/>
      </c>
      <c r="H14" s="25">
        <f>IF(ISBLANK(F14), "", G14 * D14)</f>
        <v/>
      </c>
      <c r="I14" s="26">
        <f>IF(ISBLANK(F14), "", F14 * D14)</f>
        <v/>
      </c>
      <c r="J14" s="27">
        <f>IF(ISBLANK(F14), "⏳ Pending", IF(G14=0, "✅ Match", IF(G14&lt;0, "⚠️ Shortage", "🔺 Surplus")))</f>
        <v/>
      </c>
      <c r="K14" s="28" t="inlineStr">
        <is>
          <t>Specialty blended drink base</t>
        </is>
      </c>
    </row>
    <row r="15" ht="22" customHeight="1">
      <c r="A15" s="29" t="inlineStr">
        <is>
          <t>Subtotal — Coffee Beans &amp; Drink Bases:</t>
        </is>
      </c>
      <c r="B15" s="30" t="n"/>
      <c r="C15" s="30" t="n"/>
      <c r="D15" s="30" t="inlineStr"/>
      <c r="E15" s="31">
        <f>SUM(E9:E14)</f>
        <v/>
      </c>
      <c r="F15" s="31">
        <f>SUM(F9:F14)</f>
        <v/>
      </c>
      <c r="G15" s="32">
        <f>SUM(G9:G14)</f>
        <v/>
      </c>
      <c r="H15" s="33">
        <f>SUM(H9:H14)</f>
        <v/>
      </c>
      <c r="I15" s="34">
        <f>SUM(I9:I14)</f>
        <v/>
      </c>
      <c r="J15" s="30" t="inlineStr"/>
      <c r="K15" s="30" t="inlineStr"/>
    </row>
    <row r="17" ht="24" customHeight="1">
      <c r="A17" s="35" t="inlineStr">
        <is>
          <t xml:space="preserve">  🥛  2. MILKS &amp; DAIRY SUPPLIES</t>
        </is>
      </c>
    </row>
    <row r="18" ht="21" customHeight="1">
      <c r="A18" s="8" t="inlineStr">
        <is>
          <t>ING-007</t>
        </is>
      </c>
      <c r="B18" s="9" t="inlineStr">
        <is>
          <t>Arla Full Cream Milk 1L</t>
        </is>
      </c>
      <c r="C18" s="10" t="inlineStr">
        <is>
          <t>Pack (1L)</t>
        </is>
      </c>
      <c r="D18" s="11" t="n">
        <v>99</v>
      </c>
      <c r="E18" s="12" t="n">
        <v>10</v>
      </c>
      <c r="F18" s="13" t="n"/>
      <c r="G18" s="14">
        <f>IF(ISBLANK(F18), "", F18 - E18)</f>
        <v/>
      </c>
      <c r="H18" s="15">
        <f>IF(ISBLANK(F18), "", G18 * D18)</f>
        <v/>
      </c>
      <c r="I18" s="16">
        <f>IF(ISBLANK(F18), "", F18 * D18)</f>
        <v/>
      </c>
      <c r="J18" s="17">
        <f>IF(ISBLANK(F18), "⏳ Pending", IF(G18=0, "✅ Match", IF(G18&lt;0, "⚠️ Shortage", "🔺 Surplus")))</f>
        <v/>
      </c>
      <c r="K18" s="18" t="inlineStr">
        <is>
          <t>Primary steaming milk for lattes</t>
        </is>
      </c>
    </row>
    <row r="19" ht="21" customHeight="1">
      <c r="A19" s="19" t="inlineStr">
        <is>
          <t>ING-008</t>
        </is>
      </c>
      <c r="B19" s="20" t="inlineStr">
        <is>
          <t>Master Barista Cow's Milk 1L</t>
        </is>
      </c>
      <c r="C19" s="21" t="inlineStr">
        <is>
          <t>Pack (1L)</t>
        </is>
      </c>
      <c r="D19" s="22" t="n">
        <v>110</v>
      </c>
      <c r="E19" s="23" t="n">
        <v>12</v>
      </c>
      <c r="F19" s="13" t="n"/>
      <c r="G19" s="24">
        <f>IF(ISBLANK(F19), "", F19 - E19)</f>
        <v/>
      </c>
      <c r="H19" s="25">
        <f>IF(ISBLANK(F19), "", G19 * D19)</f>
        <v/>
      </c>
      <c r="I19" s="26">
        <f>IF(ISBLANK(F19), "", F19 * D19)</f>
        <v/>
      </c>
      <c r="J19" s="27">
        <f>IF(ISBLANK(F19), "⏳ Pending", IF(G19=0, "✅ Match", IF(G19&lt;0, "⚠️ Shortage", "🔺 Surplus")))</f>
        <v/>
      </c>
      <c r="K19" s="28" t="inlineStr">
        <is>
          <t>Barista specialty milk</t>
        </is>
      </c>
    </row>
    <row r="20" ht="21" customHeight="1">
      <c r="A20" s="8" t="inlineStr">
        <is>
          <t>ING-009</t>
        </is>
      </c>
      <c r="B20" s="9" t="inlineStr">
        <is>
          <t>Doreen Condensed Milk 390g</t>
        </is>
      </c>
      <c r="C20" s="10" t="inlineStr">
        <is>
          <t>Can (390g)</t>
        </is>
      </c>
      <c r="D20" s="11" t="n">
        <v>44</v>
      </c>
      <c r="E20" s="12" t="n">
        <v>19.23</v>
      </c>
      <c r="F20" s="13" t="n"/>
      <c r="G20" s="14">
        <f>IF(ISBLANK(F20), "", F20 - E20)</f>
        <v/>
      </c>
      <c r="H20" s="15">
        <f>IF(ISBLANK(F20), "", G20 * D20)</f>
        <v/>
      </c>
      <c r="I20" s="16">
        <f>IF(ISBLANK(F20), "", F20 * D20)</f>
        <v/>
      </c>
      <c r="J20" s="17">
        <f>IF(ISBLANK(F20), "⏳ Pending", IF(G20=0, "✅ Match", IF(G20&lt;0, "⚠️ Shortage", "🔺 Surplus")))</f>
        <v/>
      </c>
      <c r="K20" s="18" t="inlineStr">
        <is>
          <t>Spanish latte sweet base</t>
        </is>
      </c>
    </row>
    <row r="21" ht="21" customHeight="1">
      <c r="A21" s="19" t="inlineStr">
        <is>
          <t>ING-010</t>
        </is>
      </c>
      <c r="B21" s="20" t="inlineStr">
        <is>
          <t>Soymilk 1L (Plant-based)</t>
        </is>
      </c>
      <c r="C21" s="21" t="inlineStr">
        <is>
          <t>Pack (1L)</t>
        </is>
      </c>
      <c r="D21" s="22" t="n">
        <v>87.5</v>
      </c>
      <c r="E21" s="23" t="n">
        <v>2</v>
      </c>
      <c r="F21" s="13" t="n"/>
      <c r="G21" s="24">
        <f>IF(ISBLANK(F21), "", F21 - E21)</f>
        <v/>
      </c>
      <c r="H21" s="25">
        <f>IF(ISBLANK(F21), "", G21 * D21)</f>
        <v/>
      </c>
      <c r="I21" s="26">
        <f>IF(ISBLANK(F21), "", F21 * D21)</f>
        <v/>
      </c>
      <c r="J21" s="27">
        <f>IF(ISBLANK(F21), "⏳ Pending", IF(G21=0, "✅ Match", IF(G21&lt;0, "⚠️ Shortage", "🔺 Surplus")))</f>
        <v/>
      </c>
      <c r="K21" s="28" t="inlineStr">
        <is>
          <t>Non-dairy milk substitute</t>
        </is>
      </c>
    </row>
    <row r="22" ht="21" customHeight="1">
      <c r="A22" s="8" t="inlineStr">
        <is>
          <t>ING-011</t>
        </is>
      </c>
      <c r="B22" s="9" t="inlineStr">
        <is>
          <t>Whipping Cream 1L</t>
        </is>
      </c>
      <c r="C22" s="10" t="inlineStr">
        <is>
          <t>Bot (1L)</t>
        </is>
      </c>
      <c r="D22" s="11" t="n">
        <v>250</v>
      </c>
      <c r="E22" s="12" t="n">
        <v>1</v>
      </c>
      <c r="F22" s="13" t="n"/>
      <c r="G22" s="14">
        <f>IF(ISBLANK(F22), "", F22 - E22)</f>
        <v/>
      </c>
      <c r="H22" s="15">
        <f>IF(ISBLANK(F22), "", G22 * D22)</f>
        <v/>
      </c>
      <c r="I22" s="16">
        <f>IF(ISBLANK(F22), "", F22 * D22)</f>
        <v/>
      </c>
      <c r="J22" s="17">
        <f>IF(ISBLANK(F22), "⏳ Pending", IF(G22=0, "✅ Match", IF(G22&lt;0, "⚠️ Shortage", "🔺 Surplus")))</f>
        <v/>
      </c>
      <c r="K22" s="18" t="inlineStr">
        <is>
          <t>Cold foam &amp; sea salt cream topper</t>
        </is>
      </c>
    </row>
    <row r="23" ht="21" customHeight="1">
      <c r="A23" s="19" t="inlineStr">
        <is>
          <t>ING-012</t>
        </is>
      </c>
      <c r="B23" s="20" t="inlineStr">
        <is>
          <t>Artisanal Salted Cream Cheese</t>
        </is>
      </c>
      <c r="C23" s="21" t="inlineStr">
        <is>
          <t>Pack</t>
        </is>
      </c>
      <c r="D23" s="22" t="n">
        <v>200</v>
      </c>
      <c r="E23" s="23" t="n">
        <v>2</v>
      </c>
      <c r="F23" s="13" t="n"/>
      <c r="G23" s="24">
        <f>IF(ISBLANK(F23), "", F23 - E23)</f>
        <v/>
      </c>
      <c r="H23" s="25">
        <f>IF(ISBLANK(F23), "", G23 * D23)</f>
        <v/>
      </c>
      <c r="I23" s="26">
        <f>IF(ISBLANK(F23), "", F23 * D23)</f>
        <v/>
      </c>
      <c r="J23" s="27">
        <f>IF(ISBLANK(F23), "⏳ Pending", IF(G23=0, "✅ Match", IF(G23&lt;0, "⚠️ Shortage", "🔺 Surplus")))</f>
        <v/>
      </c>
      <c r="K23" s="28" t="inlineStr">
        <is>
          <t>Sea salt cheese foam cap</t>
        </is>
      </c>
    </row>
    <row r="24" ht="22" customHeight="1">
      <c r="A24" s="29" t="inlineStr">
        <is>
          <t>Subtotal — Milks &amp; Dairy Supplies:</t>
        </is>
      </c>
      <c r="B24" s="30" t="n"/>
      <c r="C24" s="30" t="n"/>
      <c r="D24" s="30" t="inlineStr"/>
      <c r="E24" s="31">
        <f>SUM(E18:E23)</f>
        <v/>
      </c>
      <c r="F24" s="31">
        <f>SUM(F18:F23)</f>
        <v/>
      </c>
      <c r="G24" s="32">
        <f>SUM(G18:G23)</f>
        <v/>
      </c>
      <c r="H24" s="33">
        <f>SUM(H18:H23)</f>
        <v/>
      </c>
      <c r="I24" s="34">
        <f>SUM(I18:I23)</f>
        <v/>
      </c>
      <c r="J24" s="30" t="inlineStr"/>
      <c r="K24" s="30" t="inlineStr"/>
    </row>
    <row r="26" ht="24" customHeight="1">
      <c r="A26" s="36" t="inlineStr">
        <is>
          <t xml:space="preserve">  🍯  3. FLAVOR SYRUPS, PURÉES &amp; SAUCES</t>
        </is>
      </c>
    </row>
    <row r="27" ht="21" customHeight="1">
      <c r="A27" s="8" t="inlineStr">
        <is>
          <t>SYR-001</t>
        </is>
      </c>
      <c r="B27" s="9" t="inlineStr">
        <is>
          <t>SHOTT Vanilla Syrup 1L</t>
        </is>
      </c>
      <c r="C27" s="10" t="inlineStr">
        <is>
          <t>Bot (1L)</t>
        </is>
      </c>
      <c r="D27" s="11" t="n">
        <v>690</v>
      </c>
      <c r="E27" s="12" t="n">
        <v>0.75</v>
      </c>
      <c r="F27" s="13" t="n"/>
      <c r="G27" s="14">
        <f>IF(ISBLANK(F27), "", F27 - E27)</f>
        <v/>
      </c>
      <c r="H27" s="15">
        <f>IF(ISBLANK(F27), "", G27 * D27)</f>
        <v/>
      </c>
      <c r="I27" s="16">
        <f>IF(ISBLANK(F27), "", F27 * D27)</f>
        <v/>
      </c>
      <c r="J27" s="17">
        <f>IF(ISBLANK(F27), "⏳ Pending", IF(G27=0, "✅ Match", IF(G27&lt;0, "⚠️ Shortage", "🔺 Surplus")))</f>
        <v/>
      </c>
      <c r="K27" s="18" t="inlineStr">
        <is>
          <t>Vanilla Latte &amp; Frappe</t>
        </is>
      </c>
    </row>
    <row r="28" ht="21" customHeight="1">
      <c r="A28" s="19" t="inlineStr">
        <is>
          <t>SYR-002</t>
        </is>
      </c>
      <c r="B28" s="20" t="inlineStr">
        <is>
          <t>SHOTT Caramel Syrup 1L</t>
        </is>
      </c>
      <c r="C28" s="21" t="inlineStr">
        <is>
          <t>Bot (1L)</t>
        </is>
      </c>
      <c r="D28" s="22" t="n">
        <v>690</v>
      </c>
      <c r="E28" s="23" t="n">
        <v>0.2</v>
      </c>
      <c r="F28" s="13" t="n"/>
      <c r="G28" s="24">
        <f>IF(ISBLANK(F28), "", F28 - E28)</f>
        <v/>
      </c>
      <c r="H28" s="25">
        <f>IF(ISBLANK(F28), "", G28 * D28)</f>
        <v/>
      </c>
      <c r="I28" s="26">
        <f>IF(ISBLANK(F28), "", F28 * D28)</f>
        <v/>
      </c>
      <c r="J28" s="27">
        <f>IF(ISBLANK(F28), "⏳ Pending", IF(G28=0, "✅ Match", IF(G28&lt;0, "⚠️ Shortage", "🔺 Surplus")))</f>
        <v/>
      </c>
      <c r="K28" s="28" t="inlineStr">
        <is>
          <t>Caramel Macchiato</t>
        </is>
      </c>
    </row>
    <row r="29" ht="21" customHeight="1">
      <c r="A29" s="8" t="inlineStr">
        <is>
          <t>SYR-003</t>
        </is>
      </c>
      <c r="B29" s="9" t="inlineStr">
        <is>
          <t>SHOTT Macadamia Syrup 1L</t>
        </is>
      </c>
      <c r="C29" s="10" t="inlineStr">
        <is>
          <t>Bot (1L)</t>
        </is>
      </c>
      <c r="D29" s="11" t="n">
        <v>690</v>
      </c>
      <c r="E29" s="12" t="n">
        <v>1</v>
      </c>
      <c r="F29" s="13" t="n"/>
      <c r="G29" s="14">
        <f>IF(ISBLANK(F29), "", F29 - E29)</f>
        <v/>
      </c>
      <c r="H29" s="15">
        <f>IF(ISBLANK(F29), "", G29 * D29)</f>
        <v/>
      </c>
      <c r="I29" s="16">
        <f>IF(ISBLANK(F29), "", F29 * D29)</f>
        <v/>
      </c>
      <c r="J29" s="17">
        <f>IF(ISBLANK(F29), "⏳ Pending", IF(G29=0, "✅ Match", IF(G29&lt;0, "⚠️ Shortage", "🔺 Surplus")))</f>
        <v/>
      </c>
      <c r="K29" s="18" t="inlineStr">
        <is>
          <t>Macadamia Latte</t>
        </is>
      </c>
    </row>
    <row r="30" ht="21" customHeight="1">
      <c r="A30" s="19" t="inlineStr">
        <is>
          <t>SYR-004</t>
        </is>
      </c>
      <c r="B30" s="20" t="inlineStr">
        <is>
          <t>SHOTT Irish Cream Syrup 1L</t>
        </is>
      </c>
      <c r="C30" s="21" t="inlineStr">
        <is>
          <t>Bot (1L)</t>
        </is>
      </c>
      <c r="D30" s="22" t="n">
        <v>690</v>
      </c>
      <c r="E30" s="23" t="n">
        <v>1</v>
      </c>
      <c r="F30" s="13" t="n"/>
      <c r="G30" s="24">
        <f>IF(ISBLANK(F30), "", F30 - E30)</f>
        <v/>
      </c>
      <c r="H30" s="25">
        <f>IF(ISBLANK(F30), "", G30 * D30)</f>
        <v/>
      </c>
      <c r="I30" s="26">
        <f>IF(ISBLANK(F30), "", F30 * D30)</f>
        <v/>
      </c>
      <c r="J30" s="27">
        <f>IF(ISBLANK(F30), "⏳ Pending", IF(G30=0, "✅ Match", IF(G30&lt;0, "⚠️ Shortage", "🔺 Surplus")))</f>
        <v/>
      </c>
      <c r="K30" s="28" t="inlineStr">
        <is>
          <t>Irish Cream Latte</t>
        </is>
      </c>
    </row>
    <row r="31" ht="21" customHeight="1">
      <c r="A31" s="8" t="inlineStr">
        <is>
          <t>SYR-005</t>
        </is>
      </c>
      <c r="B31" s="9" t="inlineStr">
        <is>
          <t>SHOTT Butterscotch Syrup 1L</t>
        </is>
      </c>
      <c r="C31" s="10" t="inlineStr">
        <is>
          <t>Bot (1L)</t>
        </is>
      </c>
      <c r="D31" s="11" t="n">
        <v>690</v>
      </c>
      <c r="E31" s="12" t="n">
        <v>1</v>
      </c>
      <c r="F31" s="13" t="n"/>
      <c r="G31" s="14">
        <f>IF(ISBLANK(F31), "", F31 - E31)</f>
        <v/>
      </c>
      <c r="H31" s="15">
        <f>IF(ISBLANK(F31), "", G31 * D31)</f>
        <v/>
      </c>
      <c r="I31" s="16">
        <f>IF(ISBLANK(F31), "", F31 * D31)</f>
        <v/>
      </c>
      <c r="J31" s="17">
        <f>IF(ISBLANK(F31), "⏳ Pending", IF(G31=0, "✅ Match", IF(G31&lt;0, "⚠️ Shortage", "🔺 Surplus")))</f>
        <v/>
      </c>
      <c r="K31" s="18" t="inlineStr">
        <is>
          <t>Butterscotch Latte</t>
        </is>
      </c>
    </row>
    <row r="32" ht="21" customHeight="1">
      <c r="A32" s="19" t="inlineStr">
        <is>
          <t>SYR-006</t>
        </is>
      </c>
      <c r="B32" s="20" t="inlineStr">
        <is>
          <t>SHOTT White Chocolate Syrup 1L</t>
        </is>
      </c>
      <c r="C32" s="21" t="inlineStr">
        <is>
          <t>Bot (1L)</t>
        </is>
      </c>
      <c r="D32" s="22" t="n">
        <v>690</v>
      </c>
      <c r="E32" s="23" t="n">
        <v>9.84</v>
      </c>
      <c r="F32" s="13" t="n"/>
      <c r="G32" s="24">
        <f>IF(ISBLANK(F32), "", F32 - E32)</f>
        <v/>
      </c>
      <c r="H32" s="25">
        <f>IF(ISBLANK(F32), "", G32 * D32)</f>
        <v/>
      </c>
      <c r="I32" s="26">
        <f>IF(ISBLANK(F32), "", F32 * D32)</f>
        <v/>
      </c>
      <c r="J32" s="27">
        <f>IF(ISBLANK(F32), "⏳ Pending", IF(G32=0, "✅ Match", IF(G32&lt;0, "⚠️ Shortage", "🔺 Surplus")))</f>
        <v/>
      </c>
      <c r="K32" s="28" t="inlineStr">
        <is>
          <t>White Choco Latte &amp; Matcha</t>
        </is>
      </c>
    </row>
    <row r="33" ht="21" customHeight="1">
      <c r="A33" s="8" t="inlineStr">
        <is>
          <t>SYR-007</t>
        </is>
      </c>
      <c r="B33" s="9" t="inlineStr">
        <is>
          <t>SHOTT Pink Guava Syrup 1L</t>
        </is>
      </c>
      <c r="C33" s="10" t="inlineStr">
        <is>
          <t>Bot (1L)</t>
        </is>
      </c>
      <c r="D33" s="11" t="n">
        <v>890</v>
      </c>
      <c r="E33" s="12" t="n">
        <v>1</v>
      </c>
      <c r="F33" s="13" t="n"/>
      <c r="G33" s="14">
        <f>IF(ISBLANK(F33), "", F33 - E33)</f>
        <v/>
      </c>
      <c r="H33" s="15">
        <f>IF(ISBLANK(F33), "", G33 * D33)</f>
        <v/>
      </c>
      <c r="I33" s="16">
        <f>IF(ISBLANK(F33), "", F33 * D33)</f>
        <v/>
      </c>
      <c r="J33" s="17">
        <f>IF(ISBLANK(F33), "⏳ Pending", IF(G33=0, "✅ Match", IF(G33&lt;0, "⚠️ Shortage", "🔺 Surplus")))</f>
        <v/>
      </c>
      <c r="K33" s="18" t="inlineStr">
        <is>
          <t>Guava Fruit Tea &amp; Soda</t>
        </is>
      </c>
    </row>
    <row r="34" ht="21" customHeight="1">
      <c r="A34" s="19" t="inlineStr">
        <is>
          <t>SYR-008</t>
        </is>
      </c>
      <c r="B34" s="20" t="inlineStr">
        <is>
          <t>SHOTT Mango Syrup 1L</t>
        </is>
      </c>
      <c r="C34" s="21" t="inlineStr">
        <is>
          <t>Bot (1L)</t>
        </is>
      </c>
      <c r="D34" s="22" t="n">
        <v>890</v>
      </c>
      <c r="E34" s="23" t="n">
        <v>0.25</v>
      </c>
      <c r="F34" s="13" t="n"/>
      <c r="G34" s="24">
        <f>IF(ISBLANK(F34), "", F34 - E34)</f>
        <v/>
      </c>
      <c r="H34" s="25">
        <f>IF(ISBLANK(F34), "", G34 * D34)</f>
        <v/>
      </c>
      <c r="I34" s="26">
        <f>IF(ISBLANK(F34), "", F34 * D34)</f>
        <v/>
      </c>
      <c r="J34" s="27">
        <f>IF(ISBLANK(F34), "⏳ Pending", IF(G34=0, "✅ Match", IF(G34&lt;0, "⚠️ Shortage", "🔺 Surplus")))</f>
        <v/>
      </c>
      <c r="K34" s="28" t="inlineStr">
        <is>
          <t>Mango Tea &amp; Soda</t>
        </is>
      </c>
    </row>
    <row r="35" ht="21" customHeight="1">
      <c r="A35" s="8" t="inlineStr">
        <is>
          <t>SYR-009</t>
        </is>
      </c>
      <c r="B35" s="9" t="inlineStr">
        <is>
          <t>SHOTT Pomegranate Syrup 1L</t>
        </is>
      </c>
      <c r="C35" s="10" t="inlineStr">
        <is>
          <t>Bot (1L)</t>
        </is>
      </c>
      <c r="D35" s="11" t="n">
        <v>890</v>
      </c>
      <c r="E35" s="12" t="n">
        <v>0.37</v>
      </c>
      <c r="F35" s="13" t="n"/>
      <c r="G35" s="14">
        <f>IF(ISBLANK(F35), "", F35 - E35)</f>
        <v/>
      </c>
      <c r="H35" s="15">
        <f>IF(ISBLANK(F35), "", G35 * D35)</f>
        <v/>
      </c>
      <c r="I35" s="16">
        <f>IF(ISBLANK(F35), "", F35 * D35)</f>
        <v/>
      </c>
      <c r="J35" s="17">
        <f>IF(ISBLANK(F35), "⏳ Pending", IF(G35=0, "✅ Match", IF(G35&lt;0, "⚠️ Shortage", "🔺 Surplus")))</f>
        <v/>
      </c>
      <c r="K35" s="18" t="inlineStr">
        <is>
          <t>Pomegranate Tea &amp; Soda</t>
        </is>
      </c>
    </row>
    <row r="36" ht="21" customHeight="1">
      <c r="A36" s="19" t="inlineStr">
        <is>
          <t>SYR-010</t>
        </is>
      </c>
      <c r="B36" s="20" t="inlineStr">
        <is>
          <t>SHOTT Lychee Syrup 1L</t>
        </is>
      </c>
      <c r="C36" s="21" t="inlineStr">
        <is>
          <t>Bot (1L)</t>
        </is>
      </c>
      <c r="D36" s="22" t="n">
        <v>690</v>
      </c>
      <c r="E36" s="23" t="n">
        <v>0.83</v>
      </c>
      <c r="F36" s="13" t="n"/>
      <c r="G36" s="24">
        <f>IF(ISBLANK(F36), "", F36 - E36)</f>
        <v/>
      </c>
      <c r="H36" s="25">
        <f>IF(ISBLANK(F36), "", G36 * D36)</f>
        <v/>
      </c>
      <c r="I36" s="26">
        <f>IF(ISBLANK(F36), "", F36 * D36)</f>
        <v/>
      </c>
      <c r="J36" s="27">
        <f>IF(ISBLANK(F36), "⏳ Pending", IF(G36=0, "✅ Match", IF(G36&lt;0, "⚠️ Shortage", "🔺 Surplus")))</f>
        <v/>
      </c>
      <c r="K36" s="28" t="inlineStr">
        <is>
          <t>Lychee Tea &amp; Soda</t>
        </is>
      </c>
    </row>
    <row r="37" ht="21" customHeight="1">
      <c r="A37" s="8" t="inlineStr">
        <is>
          <t>SYR-011</t>
        </is>
      </c>
      <c r="B37" s="9" t="inlineStr">
        <is>
          <t>Torani Salted Caramel Syrup 750ml</t>
        </is>
      </c>
      <c r="C37" s="10" t="inlineStr">
        <is>
          <t>Bot (750ml)</t>
        </is>
      </c>
      <c r="D37" s="11" t="n">
        <v>550</v>
      </c>
      <c r="E37" s="12" t="n">
        <v>1</v>
      </c>
      <c r="F37" s="13" t="n"/>
      <c r="G37" s="14">
        <f>IF(ISBLANK(F37), "", F37 - E37)</f>
        <v/>
      </c>
      <c r="H37" s="15">
        <f>IF(ISBLANK(F37), "", G37 * D37)</f>
        <v/>
      </c>
      <c r="I37" s="16">
        <f>IF(ISBLANK(F37), "", F37 * D37)</f>
        <v/>
      </c>
      <c r="J37" s="17">
        <f>IF(ISBLANK(F37), "⏳ Pending", IF(G37=0, "✅ Match", IF(G37&lt;0, "⚠️ Shortage", "🔺 Surplus")))</f>
        <v/>
      </c>
      <c r="K37" s="18" t="inlineStr">
        <is>
          <t>Secondary caramel syrup</t>
        </is>
      </c>
    </row>
    <row r="38" ht="21" customHeight="1">
      <c r="A38" s="19" t="inlineStr">
        <is>
          <t>SYR-012</t>
        </is>
      </c>
      <c r="B38" s="20" t="inlineStr">
        <is>
          <t>Torani Macadamia Nut Syrup 750ml</t>
        </is>
      </c>
      <c r="C38" s="21" t="inlineStr">
        <is>
          <t>Bot (750ml)</t>
        </is>
      </c>
      <c r="D38" s="22" t="n">
        <v>550</v>
      </c>
      <c r="E38" s="23" t="n">
        <v>1</v>
      </c>
      <c r="F38" s="13" t="n"/>
      <c r="G38" s="24">
        <f>IF(ISBLANK(F38), "", F38 - E38)</f>
        <v/>
      </c>
      <c r="H38" s="25">
        <f>IF(ISBLANK(F38), "", G38 * D38)</f>
        <v/>
      </c>
      <c r="I38" s="26">
        <f>IF(ISBLANK(F38), "", F38 * D38)</f>
        <v/>
      </c>
      <c r="J38" s="27">
        <f>IF(ISBLANK(F38), "⏳ Pending", IF(G38=0, "✅ Match", IF(G38&lt;0, "⚠️ Shortage", "🔺 Surplus")))</f>
        <v/>
      </c>
      <c r="K38" s="28" t="inlineStr">
        <is>
          <t>Nutty espresso drinks</t>
        </is>
      </c>
    </row>
    <row r="39" ht="21" customHeight="1">
      <c r="A39" s="8" t="inlineStr">
        <is>
          <t>SYR-013</t>
        </is>
      </c>
      <c r="B39" s="9" t="inlineStr">
        <is>
          <t>Torani Lychee Syrup 750ml</t>
        </is>
      </c>
      <c r="C39" s="10" t="inlineStr">
        <is>
          <t>Bot (750ml)</t>
        </is>
      </c>
      <c r="D39" s="11" t="n">
        <v>550</v>
      </c>
      <c r="E39" s="12" t="n">
        <v>1</v>
      </c>
      <c r="F39" s="13" t="n"/>
      <c r="G39" s="14">
        <f>IF(ISBLANK(F39), "", F39 - E39)</f>
        <v/>
      </c>
      <c r="H39" s="15">
        <f>IF(ISBLANK(F39), "", G39 * D39)</f>
        <v/>
      </c>
      <c r="I39" s="16">
        <f>IF(ISBLANK(F39), "", F39 * D39)</f>
        <v/>
      </c>
      <c r="J39" s="17">
        <f>IF(ISBLANK(F39), "⏳ Pending", IF(G39=0, "✅ Match", IF(G39&lt;0, "⚠️ Shortage", "🔺 Surplus")))</f>
        <v/>
      </c>
      <c r="K39" s="18" t="inlineStr">
        <is>
          <t>Fruit soda / iced tea</t>
        </is>
      </c>
    </row>
    <row r="40" ht="21" customHeight="1">
      <c r="A40" s="19" t="inlineStr">
        <is>
          <t>SYR-014</t>
        </is>
      </c>
      <c r="B40" s="20" t="inlineStr">
        <is>
          <t>Torani Pomegranate Syrup 750ml</t>
        </is>
      </c>
      <c r="C40" s="21" t="inlineStr">
        <is>
          <t>Bot (750ml)</t>
        </is>
      </c>
      <c r="D40" s="22" t="n">
        <v>550</v>
      </c>
      <c r="E40" s="23" t="n">
        <v>1</v>
      </c>
      <c r="F40" s="13" t="n"/>
      <c r="G40" s="24">
        <f>IF(ISBLANK(F40), "", F40 - E40)</f>
        <v/>
      </c>
      <c r="H40" s="25">
        <f>IF(ISBLANK(F40), "", G40 * D40)</f>
        <v/>
      </c>
      <c r="I40" s="26">
        <f>IF(ISBLANK(F40), "", F40 * D40)</f>
        <v/>
      </c>
      <c r="J40" s="27">
        <f>IF(ISBLANK(F40), "⏳ Pending", IF(G40=0, "✅ Match", IF(G40&lt;0, "⚠️ Shortage", "🔺 Surplus")))</f>
        <v/>
      </c>
      <c r="K40" s="28" t="inlineStr">
        <is>
          <t>Fruit soda / iced tea</t>
        </is>
      </c>
    </row>
    <row r="41" ht="21" customHeight="1">
      <c r="A41" s="8" t="inlineStr">
        <is>
          <t>SYR-015</t>
        </is>
      </c>
      <c r="B41" s="9" t="inlineStr">
        <is>
          <t>Torani Mango Puree Blend 1.89L</t>
        </is>
      </c>
      <c r="C41" s="10" t="inlineStr">
        <is>
          <t>Gal (1.89L)</t>
        </is>
      </c>
      <c r="D41" s="11" t="n">
        <v>950</v>
      </c>
      <c r="E41" s="12" t="n">
        <v>1</v>
      </c>
      <c r="F41" s="13" t="n"/>
      <c r="G41" s="14">
        <f>IF(ISBLANK(F41), "", F41 - E41)</f>
        <v/>
      </c>
      <c r="H41" s="15">
        <f>IF(ISBLANK(F41), "", G41 * D41)</f>
        <v/>
      </c>
      <c r="I41" s="16">
        <f>IF(ISBLANK(F41), "", F41 * D41)</f>
        <v/>
      </c>
      <c r="J41" s="17">
        <f>IF(ISBLANK(F41), "⏳ Pending", IF(G41=0, "✅ Match", IF(G41&lt;0, "⚠️ Shortage", "🔺 Surplus")))</f>
        <v/>
      </c>
      <c r="K41" s="18" t="inlineStr">
        <is>
          <t>Specialty puree &amp; smoothies</t>
        </is>
      </c>
    </row>
    <row r="42" ht="21" customHeight="1">
      <c r="A42" s="19" t="inlineStr">
        <is>
          <t>SYR-016</t>
        </is>
      </c>
      <c r="B42" s="20" t="inlineStr">
        <is>
          <t>Torani Strawberry Puree Blend 1.89L</t>
        </is>
      </c>
      <c r="C42" s="21" t="inlineStr">
        <is>
          <t>Gal (1.89L)</t>
        </is>
      </c>
      <c r="D42" s="22" t="n">
        <v>950</v>
      </c>
      <c r="E42" s="23" t="n">
        <v>1</v>
      </c>
      <c r="F42" s="13" t="n"/>
      <c r="G42" s="24">
        <f>IF(ISBLANK(F42), "", F42 - E42)</f>
        <v/>
      </c>
      <c r="H42" s="25">
        <f>IF(ISBLANK(F42), "", G42 * D42)</f>
        <v/>
      </c>
      <c r="I42" s="26">
        <f>IF(ISBLANK(F42), "", F42 * D42)</f>
        <v/>
      </c>
      <c r="J42" s="27">
        <f>IF(ISBLANK(F42), "⏳ Pending", IF(G42=0, "✅ Match", IF(G42&lt;0, "⚠️ Shortage", "🔺 Surplus")))</f>
        <v/>
      </c>
      <c r="K42" s="28" t="inlineStr">
        <is>
          <t>Specialty puree &amp; smoothies</t>
        </is>
      </c>
    </row>
    <row r="43" ht="21" customHeight="1">
      <c r="A43" s="8" t="inlineStr">
        <is>
          <t>SYR-017</t>
        </is>
      </c>
      <c r="B43" s="9" t="inlineStr">
        <is>
          <t>French Vanilla Syrup 750ml</t>
        </is>
      </c>
      <c r="C43" s="10" t="inlineStr">
        <is>
          <t>Bot (750ml)</t>
        </is>
      </c>
      <c r="D43" s="11" t="n">
        <v>550</v>
      </c>
      <c r="E43" s="12" t="n">
        <v>1</v>
      </c>
      <c r="F43" s="13" t="n"/>
      <c r="G43" s="14">
        <f>IF(ISBLANK(F43), "", F43 - E43)</f>
        <v/>
      </c>
      <c r="H43" s="15">
        <f>IF(ISBLANK(F43), "", G43 * D43)</f>
        <v/>
      </c>
      <c r="I43" s="16">
        <f>IF(ISBLANK(F43), "", F43 * D43)</f>
        <v/>
      </c>
      <c r="J43" s="17">
        <f>IF(ISBLANK(F43), "⏳ Pending", IF(G43=0, "✅ Match", IF(G43&lt;0, "⚠️ Shortage", "🔺 Surplus")))</f>
        <v/>
      </c>
      <c r="K43" s="18" t="inlineStr">
        <is>
          <t>French Vanilla Coffee</t>
        </is>
      </c>
    </row>
    <row r="44" ht="21" customHeight="1">
      <c r="A44" s="19" t="inlineStr">
        <is>
          <t>SYR-018</t>
        </is>
      </c>
      <c r="B44" s="20" t="inlineStr">
        <is>
          <t>Hazelnut Syrup 750ml</t>
        </is>
      </c>
      <c r="C44" s="21" t="inlineStr">
        <is>
          <t>Bot (750ml)</t>
        </is>
      </c>
      <c r="D44" s="22" t="n">
        <v>550</v>
      </c>
      <c r="E44" s="23" t="n">
        <v>1</v>
      </c>
      <c r="F44" s="13" t="n"/>
      <c r="G44" s="24">
        <f>IF(ISBLANK(F44), "", F44 - E44)</f>
        <v/>
      </c>
      <c r="H44" s="25">
        <f>IF(ISBLANK(F44), "", G44 * D44)</f>
        <v/>
      </c>
      <c r="I44" s="26">
        <f>IF(ISBLANK(F44), "", F44 * D44)</f>
        <v/>
      </c>
      <c r="J44" s="27">
        <f>IF(ISBLANK(F44), "⏳ Pending", IF(G44=0, "✅ Match", IF(G44&lt;0, "⚠️ Shortage", "🔺 Surplus")))</f>
        <v/>
      </c>
      <c r="K44" s="28" t="inlineStr">
        <is>
          <t>Hazelnut Latte</t>
        </is>
      </c>
    </row>
    <row r="45" ht="21" customHeight="1">
      <c r="A45" s="8" t="inlineStr">
        <is>
          <t>SYR-019</t>
        </is>
      </c>
      <c r="B45" s="9" t="inlineStr">
        <is>
          <t>Irish Cream Syrup 750ml</t>
        </is>
      </c>
      <c r="C45" s="10" t="inlineStr">
        <is>
          <t>Bot (750ml)</t>
        </is>
      </c>
      <c r="D45" s="11" t="n">
        <v>550</v>
      </c>
      <c r="E45" s="12" t="n">
        <v>1</v>
      </c>
      <c r="F45" s="13" t="n"/>
      <c r="G45" s="14">
        <f>IF(ISBLANK(F45), "", F45 - E45)</f>
        <v/>
      </c>
      <c r="H45" s="15">
        <f>IF(ISBLANK(F45), "", G45 * D45)</f>
        <v/>
      </c>
      <c r="I45" s="16">
        <f>IF(ISBLANK(F45), "", F45 * D45)</f>
        <v/>
      </c>
      <c r="J45" s="17">
        <f>IF(ISBLANK(F45), "⏳ Pending", IF(G45=0, "✅ Match", IF(G45&lt;0, "⚠️ Shortage", "🔺 Surplus")))</f>
        <v/>
      </c>
      <c r="K45" s="18" t="inlineStr">
        <is>
          <t>Specialty flavor</t>
        </is>
      </c>
    </row>
    <row r="46" ht="22" customHeight="1">
      <c r="A46" s="29" t="inlineStr">
        <is>
          <t>Subtotal — Flavor Syrups, Purées &amp; Sauces:</t>
        </is>
      </c>
      <c r="B46" s="30" t="n"/>
      <c r="C46" s="30" t="n"/>
      <c r="D46" s="30" t="inlineStr"/>
      <c r="E46" s="31">
        <f>SUM(E27:E45)</f>
        <v/>
      </c>
      <c r="F46" s="31">
        <f>SUM(F27:F45)</f>
        <v/>
      </c>
      <c r="G46" s="32">
        <f>SUM(G27:G45)</f>
        <v/>
      </c>
      <c r="H46" s="33">
        <f>SUM(H27:H45)</f>
        <v/>
      </c>
      <c r="I46" s="34">
        <f>SUM(I27:I45)</f>
        <v/>
      </c>
      <c r="J46" s="30" t="inlineStr"/>
      <c r="K46" s="30" t="inlineStr"/>
    </row>
    <row r="48" ht="24" customHeight="1">
      <c r="A48" s="37" t="inlineStr">
        <is>
          <t xml:space="preserve">  🍵  4. MATCHA &amp; SPECIALTY TEAS</t>
        </is>
      </c>
    </row>
    <row r="49" ht="21" customHeight="1">
      <c r="A49" s="8" t="inlineStr">
        <is>
          <t>TEA-001</t>
        </is>
      </c>
      <c r="B49" s="9" t="inlineStr">
        <is>
          <t>Matcha Powder 1kg (Culinary Grade)</t>
        </is>
      </c>
      <c r="C49" s="10" t="inlineStr">
        <is>
          <t>Pack (1kg)</t>
        </is>
      </c>
      <c r="D49" s="11" t="n">
        <v>1200</v>
      </c>
      <c r="E49" s="12" t="n">
        <v>0.87</v>
      </c>
      <c r="F49" s="13" t="n"/>
      <c r="G49" s="14">
        <f>IF(ISBLANK(F49), "", F49 - E49)</f>
        <v/>
      </c>
      <c r="H49" s="15">
        <f>IF(ISBLANK(F49), "", G49 * D49)</f>
        <v/>
      </c>
      <c r="I49" s="16">
        <f>IF(ISBLANK(F49), "", F49 * D49)</f>
        <v/>
      </c>
      <c r="J49" s="17">
        <f>IF(ISBLANK(F49), "⏳ Pending", IF(G49=0, "✅ Match", IF(G49&lt;0, "⚠️ Shortage", "🔺 Surplus")))</f>
        <v/>
      </c>
      <c r="K49" s="18" t="inlineStr">
        <is>
          <t>Matcha Latte &amp; Seasalt</t>
        </is>
      </c>
    </row>
    <row r="50" ht="21" customHeight="1">
      <c r="A50" s="19" t="inlineStr">
        <is>
          <t>TEA-002</t>
        </is>
      </c>
      <c r="B50" s="20" t="inlineStr">
        <is>
          <t>Easy Matcha Pure Powder 100g</t>
        </is>
      </c>
      <c r="C50" s="21" t="inlineStr">
        <is>
          <t>Pack (100g)</t>
        </is>
      </c>
      <c r="D50" s="22" t="n">
        <v>210</v>
      </c>
      <c r="E50" s="23" t="n">
        <v>3</v>
      </c>
      <c r="F50" s="13" t="n"/>
      <c r="G50" s="24">
        <f>IF(ISBLANK(F50), "", F50 - E50)</f>
        <v/>
      </c>
      <c r="H50" s="25">
        <f>IF(ISBLANK(F50), "", G50 * D50)</f>
        <v/>
      </c>
      <c r="I50" s="26">
        <f>IF(ISBLANK(F50), "", F50 * D50)</f>
        <v/>
      </c>
      <c r="J50" s="27">
        <f>IF(ISBLANK(F50), "⏳ Pending", IF(G50=0, "✅ Match", IF(G50&lt;0, "⚠️ Shortage", "🔺 Surplus")))</f>
        <v/>
      </c>
      <c r="K50" s="28" t="inlineStr">
        <is>
          <t>Ceremonial / pure grade</t>
        </is>
      </c>
    </row>
    <row r="51" ht="21" customHeight="1">
      <c r="A51" s="8" t="inlineStr">
        <is>
          <t>TEA-003</t>
        </is>
      </c>
      <c r="B51" s="9" t="inlineStr">
        <is>
          <t>Possmei Jasmine Green Tea Leaves 600g</t>
        </is>
      </c>
      <c r="C51" s="10" t="inlineStr">
        <is>
          <t>Pack (600g)</t>
        </is>
      </c>
      <c r="D51" s="11" t="n">
        <v>768</v>
      </c>
      <c r="E51" s="12" t="n">
        <v>1</v>
      </c>
      <c r="F51" s="13" t="n"/>
      <c r="G51" s="14">
        <f>IF(ISBLANK(F51), "", F51 - E51)</f>
        <v/>
      </c>
      <c r="H51" s="15">
        <f>IF(ISBLANK(F51), "", G51 * D51)</f>
        <v/>
      </c>
      <c r="I51" s="16">
        <f>IF(ISBLANK(F51), "", F51 * D51)</f>
        <v/>
      </c>
      <c r="J51" s="17">
        <f>IF(ISBLANK(F51), "⏳ Pending", IF(G51=0, "✅ Match", IF(G51&lt;0, "⚠️ Shortage", "🔺 Surplus")))</f>
        <v/>
      </c>
      <c r="K51" s="18" t="inlineStr">
        <is>
          <t>Premium tea brewing</t>
        </is>
      </c>
    </row>
    <row r="52" ht="21" customHeight="1">
      <c r="A52" s="19" t="inlineStr">
        <is>
          <t>TEA-004</t>
        </is>
      </c>
      <c r="B52" s="20" t="inlineStr">
        <is>
          <t>Possmei Assam Black Tea Leaves 600g</t>
        </is>
      </c>
      <c r="C52" s="21" t="inlineStr">
        <is>
          <t>Pack (600g)</t>
        </is>
      </c>
      <c r="D52" s="22" t="n">
        <v>440</v>
      </c>
      <c r="E52" s="23" t="n">
        <v>1</v>
      </c>
      <c r="F52" s="13" t="n"/>
      <c r="G52" s="24">
        <f>IF(ISBLANK(F52), "", F52 - E52)</f>
        <v/>
      </c>
      <c r="H52" s="25">
        <f>IF(ISBLANK(F52), "", G52 * D52)</f>
        <v/>
      </c>
      <c r="I52" s="26">
        <f>IF(ISBLANK(F52), "", F52 * D52)</f>
        <v/>
      </c>
      <c r="J52" s="27">
        <f>IF(ISBLANK(F52), "⏳ Pending", IF(G52=0, "✅ Match", IF(G52&lt;0, "⚠️ Shortage", "🔺 Surplus")))</f>
        <v/>
      </c>
      <c r="K52" s="28" t="inlineStr">
        <is>
          <t>Premium black tea brewing</t>
        </is>
      </c>
    </row>
    <row r="53" ht="21" customHeight="1">
      <c r="A53" s="8" t="inlineStr">
        <is>
          <t>TEA-005</t>
        </is>
      </c>
      <c r="B53" s="9" t="inlineStr">
        <is>
          <t>Jasmine Tea Leaves 1kg</t>
        </is>
      </c>
      <c r="C53" s="10" t="inlineStr">
        <is>
          <t>Pack (1kg)</t>
        </is>
      </c>
      <c r="D53" s="11" t="n">
        <v>400</v>
      </c>
      <c r="E53" s="12" t="n">
        <v>0.92</v>
      </c>
      <c r="F53" s="13" t="n"/>
      <c r="G53" s="14">
        <f>IF(ISBLANK(F53), "", F53 - E53)</f>
        <v/>
      </c>
      <c r="H53" s="15">
        <f>IF(ISBLANK(F53), "", G53 * D53)</f>
        <v/>
      </c>
      <c r="I53" s="16">
        <f>IF(ISBLANK(F53), "", F53 * D53)</f>
        <v/>
      </c>
      <c r="J53" s="17">
        <f>IF(ISBLANK(F53), "⏳ Pending", IF(G53=0, "✅ Match", IF(G53&lt;0, "⚠️ Shortage", "🔺 Surplus")))</f>
        <v/>
      </c>
      <c r="K53" s="18" t="inlineStr">
        <is>
          <t>Bulk brewed jasmine tea</t>
        </is>
      </c>
    </row>
    <row r="54" ht="21" customHeight="1">
      <c r="A54" s="19" t="inlineStr">
        <is>
          <t>TEA-006</t>
        </is>
      </c>
      <c r="B54" s="20" t="inlineStr">
        <is>
          <t>Black Tea Leaves 1kg</t>
        </is>
      </c>
      <c r="C54" s="21" t="inlineStr">
        <is>
          <t>Pack (1kg)</t>
        </is>
      </c>
      <c r="D54" s="22" t="n">
        <v>400</v>
      </c>
      <c r="E54" s="23" t="n">
        <v>0.98</v>
      </c>
      <c r="F54" s="13" t="n"/>
      <c r="G54" s="24">
        <f>IF(ISBLANK(F54), "", F54 - E54)</f>
        <v/>
      </c>
      <c r="H54" s="25">
        <f>IF(ISBLANK(F54), "", G54 * D54)</f>
        <v/>
      </c>
      <c r="I54" s="26">
        <f>IF(ISBLANK(F54), "", F54 * D54)</f>
        <v/>
      </c>
      <c r="J54" s="27">
        <f>IF(ISBLANK(F54), "⏳ Pending", IF(G54=0, "✅ Match", IF(G54&lt;0, "⚠️ Shortage", "🔺 Surplus")))</f>
        <v/>
      </c>
      <c r="K54" s="28" t="inlineStr">
        <is>
          <t>Bulk brewed black tea</t>
        </is>
      </c>
    </row>
    <row r="55" ht="21" customHeight="1">
      <c r="A55" s="8" t="inlineStr">
        <is>
          <t>TEA-007</t>
        </is>
      </c>
      <c r="B55" s="9" t="inlineStr">
        <is>
          <t>Dilmah Earl Grey Tea Bags</t>
        </is>
      </c>
      <c r="C55" s="10" t="inlineStr">
        <is>
          <t>Bag / Sachet</t>
        </is>
      </c>
      <c r="D55" s="11" t="n">
        <v>45</v>
      </c>
      <c r="E55" s="12" t="n">
        <v>91</v>
      </c>
      <c r="F55" s="13" t="n"/>
      <c r="G55" s="14">
        <f>IF(ISBLANK(F55), "", F55 - E55)</f>
        <v/>
      </c>
      <c r="H55" s="15">
        <f>IF(ISBLANK(F55), "", G55 * D55)</f>
        <v/>
      </c>
      <c r="I55" s="16">
        <f>IF(ISBLANK(F55), "", F55 * D55)</f>
        <v/>
      </c>
      <c r="J55" s="17">
        <f>IF(ISBLANK(F55), "⏳ Pending", IF(G55=0, "✅ Match", IF(G55&lt;0, "⚠️ Shortage", "🔺 Surplus")))</f>
        <v/>
      </c>
      <c r="K55" s="18" t="inlineStr">
        <is>
          <t>Hot brewed specialty tea</t>
        </is>
      </c>
    </row>
    <row r="56" ht="21" customHeight="1">
      <c r="A56" s="19" t="inlineStr">
        <is>
          <t>TEA-008</t>
        </is>
      </c>
      <c r="B56" s="20" t="inlineStr">
        <is>
          <t>Dilmah Gourmet Green Tea Bags</t>
        </is>
      </c>
      <c r="C56" s="21" t="inlineStr">
        <is>
          <t>Bag / Sachet</t>
        </is>
      </c>
      <c r="D56" s="22" t="n">
        <v>45</v>
      </c>
      <c r="E56" s="23" t="n">
        <v>100</v>
      </c>
      <c r="F56" s="13" t="n"/>
      <c r="G56" s="24">
        <f>IF(ISBLANK(F56), "", F56 - E56)</f>
        <v/>
      </c>
      <c r="H56" s="25">
        <f>IF(ISBLANK(F56), "", G56 * D56)</f>
        <v/>
      </c>
      <c r="I56" s="26">
        <f>IF(ISBLANK(F56), "", F56 * D56)</f>
        <v/>
      </c>
      <c r="J56" s="27">
        <f>IF(ISBLANK(F56), "⏳ Pending", IF(G56=0, "✅ Match", IF(G56&lt;0, "⚠️ Shortage", "🔺 Surplus")))</f>
        <v/>
      </c>
      <c r="K56" s="28" t="inlineStr">
        <is>
          <t>Hot brewed specialty tea</t>
        </is>
      </c>
    </row>
    <row r="57" ht="21" customHeight="1">
      <c r="A57" s="8" t="inlineStr">
        <is>
          <t>TEA-009</t>
        </is>
      </c>
      <c r="B57" s="9" t="inlineStr">
        <is>
          <t>Dilmah Green Tea with Jasmine Bags</t>
        </is>
      </c>
      <c r="C57" s="10" t="inlineStr">
        <is>
          <t>Bag / Sachet</t>
        </is>
      </c>
      <c r="D57" s="11" t="n">
        <v>45</v>
      </c>
      <c r="E57" s="12" t="n">
        <v>100</v>
      </c>
      <c r="F57" s="13" t="n"/>
      <c r="G57" s="14">
        <f>IF(ISBLANK(F57), "", F57 - E57)</f>
        <v/>
      </c>
      <c r="H57" s="15">
        <f>IF(ISBLANK(F57), "", G57 * D57)</f>
        <v/>
      </c>
      <c r="I57" s="16">
        <f>IF(ISBLANK(F57), "", F57 * D57)</f>
        <v/>
      </c>
      <c r="J57" s="17">
        <f>IF(ISBLANK(F57), "⏳ Pending", IF(G57=0, "✅ Match", IF(G57&lt;0, "⚠️ Shortage", "🔺 Surplus")))</f>
        <v/>
      </c>
      <c r="K57" s="18" t="inlineStr">
        <is>
          <t>Hot brewed specialty tea</t>
        </is>
      </c>
    </row>
    <row r="58" ht="21" customHeight="1">
      <c r="A58" s="19" t="inlineStr">
        <is>
          <t>TEA-010</t>
        </is>
      </c>
      <c r="B58" s="20" t="inlineStr">
        <is>
          <t>Dilmah Pure Camomile Flowers Bags</t>
        </is>
      </c>
      <c r="C58" s="21" t="inlineStr">
        <is>
          <t>Bag / Sachet</t>
        </is>
      </c>
      <c r="D58" s="22" t="n">
        <v>45</v>
      </c>
      <c r="E58" s="23" t="n">
        <v>100</v>
      </c>
      <c r="F58" s="13" t="n"/>
      <c r="G58" s="24">
        <f>IF(ISBLANK(F58), "", F58 - E58)</f>
        <v/>
      </c>
      <c r="H58" s="25">
        <f>IF(ISBLANK(F58), "", G58 * D58)</f>
        <v/>
      </c>
      <c r="I58" s="26">
        <f>IF(ISBLANK(F58), "", F58 * D58)</f>
        <v/>
      </c>
      <c r="J58" s="27">
        <f>IF(ISBLANK(F58), "⏳ Pending", IF(G58=0, "✅ Match", IF(G58&lt;0, "⚠️ Shortage", "🔺 Surplus")))</f>
        <v/>
      </c>
      <c r="K58" s="28" t="inlineStr">
        <is>
          <t>Hot brewed herbal tea</t>
        </is>
      </c>
    </row>
    <row r="59" ht="21" customHeight="1">
      <c r="A59" s="8" t="inlineStr">
        <is>
          <t>TEA-011</t>
        </is>
      </c>
      <c r="B59" s="9" t="inlineStr">
        <is>
          <t>Dilmah Pure Peppermint Leaves Bags</t>
        </is>
      </c>
      <c r="C59" s="10" t="inlineStr">
        <is>
          <t>Bag / Sachet</t>
        </is>
      </c>
      <c r="D59" s="11" t="n">
        <v>45</v>
      </c>
      <c r="E59" s="12" t="n">
        <v>98</v>
      </c>
      <c r="F59" s="13" t="n"/>
      <c r="G59" s="14">
        <f>IF(ISBLANK(F59), "", F59 - E59)</f>
        <v/>
      </c>
      <c r="H59" s="15">
        <f>IF(ISBLANK(F59), "", G59 * D59)</f>
        <v/>
      </c>
      <c r="I59" s="16">
        <f>IF(ISBLANK(F59), "", F59 * D59)</f>
        <v/>
      </c>
      <c r="J59" s="17">
        <f>IF(ISBLANK(F59), "⏳ Pending", IF(G59=0, "✅ Match", IF(G59&lt;0, "⚠️ Shortage", "🔺 Surplus")))</f>
        <v/>
      </c>
      <c r="K59" s="18" t="inlineStr">
        <is>
          <t>Hot brewed herbal tea</t>
        </is>
      </c>
    </row>
    <row r="60" ht="21" customHeight="1">
      <c r="A60" s="19" t="inlineStr">
        <is>
          <t>TEA-012</t>
        </is>
      </c>
      <c r="B60" s="20" t="inlineStr">
        <is>
          <t>Dilmah Traditional Oolong Tea Bags</t>
        </is>
      </c>
      <c r="C60" s="21" t="inlineStr">
        <is>
          <t>Bag / Sachet</t>
        </is>
      </c>
      <c r="D60" s="22" t="n">
        <v>45</v>
      </c>
      <c r="E60" s="23" t="n">
        <v>100</v>
      </c>
      <c r="F60" s="13" t="n"/>
      <c r="G60" s="24">
        <f>IF(ISBLANK(F60), "", F60 - E60)</f>
        <v/>
      </c>
      <c r="H60" s="25">
        <f>IF(ISBLANK(F60), "", G60 * D60)</f>
        <v/>
      </c>
      <c r="I60" s="26">
        <f>IF(ISBLANK(F60), "", F60 * D60)</f>
        <v/>
      </c>
      <c r="J60" s="27">
        <f>IF(ISBLANK(F60), "⏳ Pending", IF(G60=0, "✅ Match", IF(G60&lt;0, "⚠️ Shortage", "🔺 Surplus")))</f>
        <v/>
      </c>
      <c r="K60" s="28" t="inlineStr">
        <is>
          <t>Hot brewed specialty tea</t>
        </is>
      </c>
    </row>
    <row r="61" ht="22" customHeight="1">
      <c r="A61" s="29" t="inlineStr">
        <is>
          <t>Subtotal — Matcha &amp; Specialty Teas:</t>
        </is>
      </c>
      <c r="B61" s="30" t="n"/>
      <c r="C61" s="30" t="n"/>
      <c r="D61" s="30" t="inlineStr"/>
      <c r="E61" s="31">
        <f>SUM(E49:E60)</f>
        <v/>
      </c>
      <c r="F61" s="31">
        <f>SUM(F49:F60)</f>
        <v/>
      </c>
      <c r="G61" s="32">
        <f>SUM(G49:G60)</f>
        <v/>
      </c>
      <c r="H61" s="33">
        <f>SUM(H49:H60)</f>
        <v/>
      </c>
      <c r="I61" s="34">
        <f>SUM(I49:I60)</f>
        <v/>
      </c>
      <c r="J61" s="30" t="inlineStr"/>
      <c r="K61" s="30" t="inlineStr"/>
    </row>
    <row r="63" ht="24" customHeight="1">
      <c r="A63" s="38" t="inlineStr">
        <is>
          <t xml:space="preserve">  🍬  5. SWEETENERS, TOPPINGS &amp; MIXERS</t>
        </is>
      </c>
    </row>
    <row r="64" ht="21" customHeight="1">
      <c r="A64" s="8" t="inlineStr">
        <is>
          <t>SWT-001</t>
        </is>
      </c>
      <c r="B64" s="9" t="inlineStr">
        <is>
          <t>Hi-Fructose Corn Syrup 500ml</t>
        </is>
      </c>
      <c r="C64" s="10" t="inlineStr">
        <is>
          <t>Bot (500ml)</t>
        </is>
      </c>
      <c r="D64" s="11" t="n">
        <v>94</v>
      </c>
      <c r="E64" s="12" t="n">
        <v>10</v>
      </c>
      <c r="F64" s="13" t="n"/>
      <c r="G64" s="14">
        <f>IF(ISBLANK(F64), "", F64 - E64)</f>
        <v/>
      </c>
      <c r="H64" s="15">
        <f>IF(ISBLANK(F64), "", G64 * D64)</f>
        <v/>
      </c>
      <c r="I64" s="16">
        <f>IF(ISBLANK(F64), "", F64 * D64)</f>
        <v/>
      </c>
      <c r="J64" s="17">
        <f>IF(ISBLANK(F64), "⏳ Pending", IF(G64=0, "✅ Match", IF(G64&lt;0, "⚠️ Shortage", "🔺 Surplus")))</f>
        <v/>
      </c>
      <c r="K64" s="18" t="inlineStr">
        <is>
          <t>Primary liquid sweetener</t>
        </is>
      </c>
    </row>
    <row r="65" ht="21" customHeight="1">
      <c r="A65" s="19" t="inlineStr">
        <is>
          <t>SWT-002</t>
        </is>
      </c>
      <c r="B65" s="20" t="inlineStr">
        <is>
          <t>Refined White Sugar 1kg</t>
        </is>
      </c>
      <c r="C65" s="21" t="inlineStr">
        <is>
          <t>Pack (1kg)</t>
        </is>
      </c>
      <c r="D65" s="22" t="n">
        <v>80</v>
      </c>
      <c r="E65" s="23" t="n">
        <v>1</v>
      </c>
      <c r="F65" s="13" t="n"/>
      <c r="G65" s="24">
        <f>IF(ISBLANK(F65), "", F65 - E65)</f>
        <v/>
      </c>
      <c r="H65" s="25">
        <f>IF(ISBLANK(F65), "", G65 * D65)</f>
        <v/>
      </c>
      <c r="I65" s="26">
        <f>IF(ISBLANK(F65), "", F65 * D65)</f>
        <v/>
      </c>
      <c r="J65" s="27">
        <f>IF(ISBLANK(F65), "⏳ Pending", IF(G65=0, "✅ Match", IF(G65&lt;0, "⚠️ Shortage", "🔺 Surplus")))</f>
        <v/>
      </c>
      <c r="K65" s="28" t="inlineStr">
        <is>
          <t>Syrup prep &amp; table sugar</t>
        </is>
      </c>
    </row>
    <row r="66" ht="21" customHeight="1">
      <c r="A66" s="8" t="inlineStr">
        <is>
          <t>SWT-003</t>
        </is>
      </c>
      <c r="B66" s="9" t="inlineStr">
        <is>
          <t>Equal Sweetener Sachets (Box of 50s)</t>
        </is>
      </c>
      <c r="C66" s="10" t="inlineStr">
        <is>
          <t>Pack (50s)</t>
        </is>
      </c>
      <c r="D66" s="11" t="n">
        <v>167.5</v>
      </c>
      <c r="E66" s="12" t="n">
        <v>1</v>
      </c>
      <c r="F66" s="13" t="n"/>
      <c r="G66" s="14">
        <f>IF(ISBLANK(F66), "", F66 - E66)</f>
        <v/>
      </c>
      <c r="H66" s="15">
        <f>IF(ISBLANK(F66), "", G66 * D66)</f>
        <v/>
      </c>
      <c r="I66" s="16">
        <f>IF(ISBLANK(F66), "", F66 * D66)</f>
        <v/>
      </c>
      <c r="J66" s="17">
        <f>IF(ISBLANK(F66), "⏳ Pending", IF(G66=0, "✅ Match", IF(G66&lt;0, "⚠️ Shortage", "🔺 Surplus")))</f>
        <v/>
      </c>
      <c r="K66" s="18" t="inlineStr">
        <is>
          <t>Low calorie option</t>
        </is>
      </c>
    </row>
    <row r="67" ht="21" customHeight="1">
      <c r="A67" s="19" t="inlineStr">
        <is>
          <t>SWT-004</t>
        </is>
      </c>
      <c r="B67" s="20" t="inlineStr">
        <is>
          <t>Lotus Biscoff Spread Smooth 400g</t>
        </is>
      </c>
      <c r="C67" s="21" t="inlineStr">
        <is>
          <t>Jar (400g)</t>
        </is>
      </c>
      <c r="D67" s="22" t="n">
        <v>345</v>
      </c>
      <c r="E67" s="23" t="n">
        <v>1</v>
      </c>
      <c r="F67" s="13" t="n"/>
      <c r="G67" s="24">
        <f>IF(ISBLANK(F67), "", F67 - E67)</f>
        <v/>
      </c>
      <c r="H67" s="25">
        <f>IF(ISBLANK(F67), "", G67 * D67)</f>
        <v/>
      </c>
      <c r="I67" s="26">
        <f>IF(ISBLANK(F67), "", F67 * D67)</f>
        <v/>
      </c>
      <c r="J67" s="27">
        <f>IF(ISBLANK(F67), "⏳ Pending", IF(G67=0, "✅ Match", IF(G67&lt;0, "⚠️ Shortage", "🔺 Surplus")))</f>
        <v/>
      </c>
      <c r="K67" s="28" t="inlineStr">
        <is>
          <t>Biscoff series drinks</t>
        </is>
      </c>
    </row>
    <row r="68" ht="21" customHeight="1">
      <c r="A68" s="8" t="inlineStr">
        <is>
          <t>SWT-005</t>
        </is>
      </c>
      <c r="B68" s="9" t="inlineStr">
        <is>
          <t>Lotus Biscoff Biscuits (Pack 250g)</t>
        </is>
      </c>
      <c r="C68" s="10" t="inlineStr">
        <is>
          <t>Pack (250g)</t>
        </is>
      </c>
      <c r="D68" s="11" t="n">
        <v>192</v>
      </c>
      <c r="E68" s="12" t="n">
        <v>1</v>
      </c>
      <c r="F68" s="13" t="n"/>
      <c r="G68" s="14">
        <f>IF(ISBLANK(F68), "", F68 - E68)</f>
        <v/>
      </c>
      <c r="H68" s="15">
        <f>IF(ISBLANK(F68), "", G68 * D68)</f>
        <v/>
      </c>
      <c r="I68" s="16">
        <f>IF(ISBLANK(F68), "", F68 * D68)</f>
        <v/>
      </c>
      <c r="J68" s="17">
        <f>IF(ISBLANK(F68), "⏳ Pending", IF(G68=0, "✅ Match", IF(G68&lt;0, "⚠️ Shortage", "🔺 Surplus")))</f>
        <v/>
      </c>
      <c r="K68" s="18" t="inlineStr">
        <is>
          <t>Garnish &amp; drink topping</t>
        </is>
      </c>
    </row>
    <row r="69" ht="21" customHeight="1">
      <c r="A69" s="19" t="inlineStr">
        <is>
          <t>SWT-006</t>
        </is>
      </c>
      <c r="B69" s="20" t="inlineStr">
        <is>
          <t>Oreo Biscuit Crumbs 454g</t>
        </is>
      </c>
      <c r="C69" s="21" t="inlineStr">
        <is>
          <t>Pack (454g)</t>
        </is>
      </c>
      <c r="D69" s="22" t="n">
        <v>175</v>
      </c>
      <c r="E69" s="23" t="n">
        <v>1</v>
      </c>
      <c r="F69" s="13" t="n"/>
      <c r="G69" s="24">
        <f>IF(ISBLANK(F69), "", F69 - E69)</f>
        <v/>
      </c>
      <c r="H69" s="25">
        <f>IF(ISBLANK(F69), "", G69 * D69)</f>
        <v/>
      </c>
      <c r="I69" s="26">
        <f>IF(ISBLANK(F69), "", F69 * D69)</f>
        <v/>
      </c>
      <c r="J69" s="27">
        <f>IF(ISBLANK(F69), "⏳ Pending", IF(G69=0, "✅ Match", IF(G69&lt;0, "⚠️ Shortage", "🔺 Surplus")))</f>
        <v/>
      </c>
      <c r="K69" s="28" t="inlineStr">
        <is>
          <t>Dirty Oreo &amp; blended drinks</t>
        </is>
      </c>
    </row>
    <row r="70" ht="21" customHeight="1">
      <c r="A70" s="8" t="inlineStr">
        <is>
          <t>SWT-007</t>
        </is>
      </c>
      <c r="B70" s="9" t="inlineStr">
        <is>
          <t>Sprite 1.5L (Beverage Mixer)</t>
        </is>
      </c>
      <c r="C70" s="10" t="inlineStr">
        <is>
          <t>Bot (1.5L)</t>
        </is>
      </c>
      <c r="D70" s="11" t="n">
        <v>69.5</v>
      </c>
      <c r="E70" s="12" t="n">
        <v>4</v>
      </c>
      <c r="F70" s="13" t="n"/>
      <c r="G70" s="14">
        <f>IF(ISBLANK(F70), "", F70 - E70)</f>
        <v/>
      </c>
      <c r="H70" s="15">
        <f>IF(ISBLANK(F70), "", G70 * D70)</f>
        <v/>
      </c>
      <c r="I70" s="16">
        <f>IF(ISBLANK(F70), "", F70 * D70)</f>
        <v/>
      </c>
      <c r="J70" s="17">
        <f>IF(ISBLANK(F70), "⏳ Pending", IF(G70=0, "✅ Match", IF(G70&lt;0, "⚠️ Shortage", "🔺 Surplus")))</f>
        <v/>
      </c>
      <c r="K70" s="18" t="inlineStr">
        <is>
          <t>Base for Fruit Soda series</t>
        </is>
      </c>
    </row>
    <row r="71" ht="21" customHeight="1">
      <c r="A71" s="19" t="inlineStr">
        <is>
          <t>SWT-008</t>
        </is>
      </c>
      <c r="B71" s="20" t="inlineStr">
        <is>
          <t>Fresh Lemon Fruit</t>
        </is>
      </c>
      <c r="C71" s="21" t="inlineStr">
        <is>
          <t>Pieces</t>
        </is>
      </c>
      <c r="D71" s="22" t="n">
        <v>15</v>
      </c>
      <c r="E71" s="23" t="n">
        <v>42</v>
      </c>
      <c r="F71" s="13" t="n"/>
      <c r="G71" s="24">
        <f>IF(ISBLANK(F71), "", F71 - E71)</f>
        <v/>
      </c>
      <c r="H71" s="25">
        <f>IF(ISBLANK(F71), "", G71 * D71)</f>
        <v/>
      </c>
      <c r="I71" s="26">
        <f>IF(ISBLANK(F71), "", F71 * D71)</f>
        <v/>
      </c>
      <c r="J71" s="27">
        <f>IF(ISBLANK(F71), "⏳ Pending", IF(G71=0, "✅ Match", IF(G71&lt;0, "⚠️ Shortage", "🔺 Surplus")))</f>
        <v/>
      </c>
      <c r="K71" s="28" t="inlineStr">
        <is>
          <t>Garnish &amp; fresh lemon drinks</t>
        </is>
      </c>
    </row>
    <row r="72" ht="22" customHeight="1">
      <c r="A72" s="29" t="inlineStr">
        <is>
          <t>Subtotal — Sweeteners, Toppings &amp; Mixers:</t>
        </is>
      </c>
      <c r="B72" s="30" t="n"/>
      <c r="C72" s="30" t="n"/>
      <c r="D72" s="30" t="inlineStr"/>
      <c r="E72" s="31">
        <f>SUM(E64:E71)</f>
        <v/>
      </c>
      <c r="F72" s="31">
        <f>SUM(F64:F71)</f>
        <v/>
      </c>
      <c r="G72" s="32">
        <f>SUM(G64:G71)</f>
        <v/>
      </c>
      <c r="H72" s="33">
        <f>SUM(H64:H71)</f>
        <v/>
      </c>
      <c r="I72" s="34">
        <f>SUM(I64:I71)</f>
        <v/>
      </c>
      <c r="J72" s="30" t="inlineStr"/>
      <c r="K72" s="30" t="inlineStr"/>
    </row>
    <row r="74" ht="24" customHeight="1">
      <c r="A74" s="42" t="inlineStr">
        <is>
          <t xml:space="preserve">  📦  9. CUPS, LIDS &amp; PACKAGING DISPOSABLES</t>
        </is>
      </c>
    </row>
    <row r="75" ht="21" customHeight="1">
      <c r="A75" s="8" t="inlineStr">
        <is>
          <t>PKG-001</t>
        </is>
      </c>
      <c r="B75" s="9" t="inlineStr">
        <is>
          <t>Hot Paper Cups 8oz / 12oz</t>
        </is>
      </c>
      <c r="C75" s="10" t="inlineStr">
        <is>
          <t>Sleeve (50s)</t>
        </is>
      </c>
      <c r="D75" s="11" t="n">
        <v>120</v>
      </c>
      <c r="E75" s="12" t="n">
        <v>5</v>
      </c>
      <c r="F75" s="13" t="n"/>
      <c r="G75" s="14">
        <f>IF(ISBLANK(F75), "", F75 - E75)</f>
        <v/>
      </c>
      <c r="H75" s="15">
        <f>IF(ISBLANK(F75), "", G75 * D75)</f>
        <v/>
      </c>
      <c r="I75" s="16">
        <f>IF(ISBLANK(F75), "", F75 * D75)</f>
        <v/>
      </c>
      <c r="J75" s="17">
        <f>IF(ISBLANK(F75), "⏳ Pending", IF(G75=0, "✅ Match", IF(G75&lt;0, "⚠️ Shortage", "🔺 Surplus")))</f>
        <v/>
      </c>
      <c r="K75" s="18" t="inlineStr">
        <is>
          <t>For hot coffee drinks</t>
        </is>
      </c>
    </row>
    <row r="76" ht="21" customHeight="1">
      <c r="A76" s="19" t="inlineStr">
        <is>
          <t>PKG-002</t>
        </is>
      </c>
      <c r="B76" s="20" t="inlineStr">
        <is>
          <t>Hot Cup Sipper Lids 80mm / 90mm</t>
        </is>
      </c>
      <c r="C76" s="21" t="inlineStr">
        <is>
          <t>Sleeve (50s)</t>
        </is>
      </c>
      <c r="D76" s="22" t="n">
        <v>85</v>
      </c>
      <c r="E76" s="23" t="n">
        <v>5</v>
      </c>
      <c r="F76" s="13" t="n"/>
      <c r="G76" s="24">
        <f>IF(ISBLANK(F76), "", F76 - E76)</f>
        <v/>
      </c>
      <c r="H76" s="25">
        <f>IF(ISBLANK(F76), "", G76 * D76)</f>
        <v/>
      </c>
      <c r="I76" s="26">
        <f>IF(ISBLANK(F76), "", F76 * D76)</f>
        <v/>
      </c>
      <c r="J76" s="27">
        <f>IF(ISBLANK(F76), "⏳ Pending", IF(G76=0, "✅ Match", IF(G76&lt;0, "⚠️ Shortage", "🔺 Surplus")))</f>
        <v/>
      </c>
      <c r="K76" s="28" t="inlineStr">
        <is>
          <t>For hot coffee cups</t>
        </is>
      </c>
    </row>
    <row r="77" ht="21" customHeight="1">
      <c r="A77" s="8" t="inlineStr">
        <is>
          <t>PKG-003</t>
        </is>
      </c>
      <c r="B77" s="9" t="inlineStr">
        <is>
          <t>Cold PET Cups 16oz (Medium)</t>
        </is>
      </c>
      <c r="C77" s="10" t="inlineStr">
        <is>
          <t>Sleeve (50s)</t>
        </is>
      </c>
      <c r="D77" s="11" t="n">
        <v>140</v>
      </c>
      <c r="E77" s="12" t="n">
        <v>6</v>
      </c>
      <c r="F77" s="13" t="n"/>
      <c r="G77" s="14">
        <f>IF(ISBLANK(F77), "", F77 - E77)</f>
        <v/>
      </c>
      <c r="H77" s="15">
        <f>IF(ISBLANK(F77), "", G77 * D77)</f>
        <v/>
      </c>
      <c r="I77" s="16">
        <f>IF(ISBLANK(F77), "", F77 * D77)</f>
        <v/>
      </c>
      <c r="J77" s="17">
        <f>IF(ISBLANK(F77), "⏳ Pending", IF(G77=0, "✅ Match", IF(G77&lt;0, "⚠️ Shortage", "🔺 Surplus")))</f>
        <v/>
      </c>
      <c r="K77" s="18" t="inlineStr">
        <is>
          <t>For iced coffee &amp; tea 16oz</t>
        </is>
      </c>
    </row>
    <row r="78" ht="21" customHeight="1">
      <c r="A78" s="19" t="inlineStr">
        <is>
          <t>PKG-004</t>
        </is>
      </c>
      <c r="B78" s="20" t="inlineStr">
        <is>
          <t>Cold PET Cups 22oz (Large)</t>
        </is>
      </c>
      <c r="C78" s="21" t="inlineStr">
        <is>
          <t>Sleeve (50s)</t>
        </is>
      </c>
      <c r="D78" s="22" t="n">
        <v>165</v>
      </c>
      <c r="E78" s="23" t="n">
        <v>6</v>
      </c>
      <c r="F78" s="13" t="n"/>
      <c r="G78" s="24">
        <f>IF(ISBLANK(F78), "", F78 - E78)</f>
        <v/>
      </c>
      <c r="H78" s="25">
        <f>IF(ISBLANK(F78), "", G78 * D78)</f>
        <v/>
      </c>
      <c r="I78" s="26">
        <f>IF(ISBLANK(F78), "", F78 * D78)</f>
        <v/>
      </c>
      <c r="J78" s="27">
        <f>IF(ISBLANK(F78), "⏳ Pending", IF(G78=0, "✅ Match", IF(G78&lt;0, "⚠️ Shortage", "🔺 Surplus")))</f>
        <v/>
      </c>
      <c r="K78" s="28" t="inlineStr">
        <is>
          <t>For iced coffee &amp; tea 22oz</t>
        </is>
      </c>
    </row>
    <row r="79" ht="21" customHeight="1">
      <c r="A79" s="8" t="inlineStr">
        <is>
          <t>PKG-005</t>
        </is>
      </c>
      <c r="B79" s="9" t="inlineStr">
        <is>
          <t>Flat Lids 90mm / 95mm</t>
        </is>
      </c>
      <c r="C79" s="10" t="inlineStr">
        <is>
          <t>Sleeve (50s)</t>
        </is>
      </c>
      <c r="D79" s="11" t="n">
        <v>75</v>
      </c>
      <c r="E79" s="12" t="n">
        <v>6</v>
      </c>
      <c r="F79" s="13" t="n"/>
      <c r="G79" s="14">
        <f>IF(ISBLANK(F79), "", F79 - E79)</f>
        <v/>
      </c>
      <c r="H79" s="15">
        <f>IF(ISBLANK(F79), "", G79 * D79)</f>
        <v/>
      </c>
      <c r="I79" s="16">
        <f>IF(ISBLANK(F79), "", F79 * D79)</f>
        <v/>
      </c>
      <c r="J79" s="17">
        <f>IF(ISBLANK(F79), "⏳ Pending", IF(G79=0, "✅ Match", IF(G79&lt;0, "⚠️ Shortage", "🔺 Surplus")))</f>
        <v/>
      </c>
      <c r="K79" s="18" t="inlineStr">
        <is>
          <t>Cold beverage flat lid</t>
        </is>
      </c>
    </row>
    <row r="80" ht="21" customHeight="1">
      <c r="A80" s="19" t="inlineStr">
        <is>
          <t>PKG-006</t>
        </is>
      </c>
      <c r="B80" s="20" t="inlineStr">
        <is>
          <t>Dome Lids 90mm / 95mm</t>
        </is>
      </c>
      <c r="C80" s="21" t="inlineStr">
        <is>
          <t>Sleeve (50s)</t>
        </is>
      </c>
      <c r="D80" s="22" t="n">
        <v>85</v>
      </c>
      <c r="E80" s="23" t="n">
        <v>6</v>
      </c>
      <c r="F80" s="13" t="n"/>
      <c r="G80" s="24">
        <f>IF(ISBLANK(F80), "", F80 - E80)</f>
        <v/>
      </c>
      <c r="H80" s="25">
        <f>IF(ISBLANK(F80), "", G80 * D80)</f>
        <v/>
      </c>
      <c r="I80" s="26">
        <f>IF(ISBLANK(F80), "", F80 * D80)</f>
        <v/>
      </c>
      <c r="J80" s="27">
        <f>IF(ISBLANK(F80), "⏳ Pending", IF(G80=0, "✅ Match", IF(G80&lt;0, "⚠️ Shortage", "🔺 Surplus")))</f>
        <v/>
      </c>
      <c r="K80" s="28" t="inlineStr">
        <is>
          <t>Whipping cream / foam dome</t>
        </is>
      </c>
    </row>
    <row r="81" ht="21" customHeight="1">
      <c r="A81" s="8" t="inlineStr">
        <is>
          <t>PKG-007</t>
        </is>
      </c>
      <c r="B81" s="9" t="inlineStr">
        <is>
          <t>Wooden Coffee Stirrers (100s)</t>
        </is>
      </c>
      <c r="C81" s="10" t="inlineStr">
        <is>
          <t>Pack (100s)</t>
        </is>
      </c>
      <c r="D81" s="11" t="n">
        <v>25</v>
      </c>
      <c r="E81" s="12" t="n">
        <v>2</v>
      </c>
      <c r="F81" s="13" t="n"/>
      <c r="G81" s="14">
        <f>IF(ISBLANK(F81), "", F81 - E81)</f>
        <v/>
      </c>
      <c r="H81" s="15">
        <f>IF(ISBLANK(F81), "", G81 * D81)</f>
        <v/>
      </c>
      <c r="I81" s="16">
        <f>IF(ISBLANK(F81), "", F81 * D81)</f>
        <v/>
      </c>
      <c r="J81" s="17">
        <f>IF(ISBLANK(F81), "⏳ Pending", IF(G81=0, "✅ Match", IF(G81&lt;0, "⚠️ Shortage", "🔺 Surplus")))</f>
        <v/>
      </c>
      <c r="K81" s="18" t="inlineStr">
        <is>
          <t>Eco-friendly stirrers</t>
        </is>
      </c>
    </row>
    <row r="82" ht="21" customHeight="1">
      <c r="A82" s="19" t="inlineStr">
        <is>
          <t>PKG-008</t>
        </is>
      </c>
      <c r="B82" s="20" t="inlineStr">
        <is>
          <t>Individually Wrapped Drinking Straws</t>
        </is>
      </c>
      <c r="C82" s="21" t="inlineStr">
        <is>
          <t>Pack (100s)</t>
        </is>
      </c>
      <c r="D82" s="22" t="n">
        <v>45</v>
      </c>
      <c r="E82" s="23" t="n">
        <v>4</v>
      </c>
      <c r="F82" s="13" t="n"/>
      <c r="G82" s="24">
        <f>IF(ISBLANK(F82), "", F82 - E82)</f>
        <v/>
      </c>
      <c r="H82" s="25">
        <f>IF(ISBLANK(F82), "", G82 * D82)</f>
        <v/>
      </c>
      <c r="I82" s="26">
        <f>IF(ISBLANK(F82), "", F82 * D82)</f>
        <v/>
      </c>
      <c r="J82" s="27">
        <f>IF(ISBLANK(F82), "⏳ Pending", IF(G82=0, "✅ Match", IF(G82&lt;0, "⚠️ Shortage", "🔺 Surplus")))</f>
        <v/>
      </c>
      <c r="K82" s="28" t="inlineStr">
        <is>
          <t>Hygienic cold drink straws</t>
        </is>
      </c>
    </row>
    <row r="83" ht="21" customHeight="1">
      <c r="A83" s="8" t="inlineStr">
        <is>
          <t>PKG-009</t>
        </is>
      </c>
      <c r="B83" s="9" t="inlineStr">
        <is>
          <t>Jade Pre-Cut Table Napkins / Tissues 1000s</t>
        </is>
      </c>
      <c r="C83" s="10" t="inlineStr">
        <is>
          <t>Pack (1000s)</t>
        </is>
      </c>
      <c r="D83" s="11" t="n">
        <v>80</v>
      </c>
      <c r="E83" s="12" t="n">
        <v>1</v>
      </c>
      <c r="F83" s="13" t="n"/>
      <c r="G83" s="14">
        <f>IF(ISBLANK(F83), "", F83 - E83)</f>
        <v/>
      </c>
      <c r="H83" s="15">
        <f>IF(ISBLANK(F83), "", G83 * D83)</f>
        <v/>
      </c>
      <c r="I83" s="16">
        <f>IF(ISBLANK(F83), "", F83 * D83)</f>
        <v/>
      </c>
      <c r="J83" s="17">
        <f>IF(ISBLANK(F83), "⏳ Pending", IF(G83=0, "✅ Match", IF(G83&lt;0, "⚠️ Shortage", "🔺 Surplus")))</f>
        <v/>
      </c>
      <c r="K83" s="18" t="inlineStr">
        <is>
          <t>Bar &amp; dining napkins</t>
        </is>
      </c>
    </row>
    <row r="84" ht="21" customHeight="1">
      <c r="A84" s="19" t="inlineStr">
        <is>
          <t>PKG-010</t>
        </is>
      </c>
      <c r="B84" s="20" t="inlineStr">
        <is>
          <t>Takeout Cup Carriers (2-Cup / 4-Cup)</t>
        </is>
      </c>
      <c r="C84" s="21" t="inlineStr">
        <is>
          <t>Pack (50s)</t>
        </is>
      </c>
      <c r="D84" s="22" t="n">
        <v>110</v>
      </c>
      <c r="E84" s="23" t="n">
        <v>3</v>
      </c>
      <c r="F84" s="13" t="n"/>
      <c r="G84" s="24">
        <f>IF(ISBLANK(F84), "", F84 - E84)</f>
        <v/>
      </c>
      <c r="H84" s="25">
        <f>IF(ISBLANK(F84), "", G84 * D84)</f>
        <v/>
      </c>
      <c r="I84" s="26">
        <f>IF(ISBLANK(F84), "", F84 * D84)</f>
        <v/>
      </c>
      <c r="J84" s="27">
        <f>IF(ISBLANK(F84), "⏳ Pending", IF(G84=0, "✅ Match", IF(G84&lt;0, "⚠️ Shortage", "🔺 Surplus")))</f>
        <v/>
      </c>
      <c r="K84" s="28" t="inlineStr">
        <is>
          <t>Kraft takeout holders</t>
        </is>
      </c>
    </row>
    <row r="85" ht="21" customHeight="1">
      <c r="A85" s="8" t="inlineStr">
        <is>
          <t>PKG-011</t>
        </is>
      </c>
      <c r="B85" s="9" t="inlineStr">
        <is>
          <t>Thermal POS Receipt Paper Rolls 58mm/80mm</t>
        </is>
      </c>
      <c r="C85" s="10" t="inlineStr">
        <is>
          <t>Rolls</t>
        </is>
      </c>
      <c r="D85" s="11" t="n">
        <v>30</v>
      </c>
      <c r="E85" s="12" t="n">
        <v>10</v>
      </c>
      <c r="F85" s="13" t="n"/>
      <c r="G85" s="14">
        <f>IF(ISBLANK(F85), "", F85 - E85)</f>
        <v/>
      </c>
      <c r="H85" s="15">
        <f>IF(ISBLANK(F85), "", G85 * D85)</f>
        <v/>
      </c>
      <c r="I85" s="16">
        <f>IF(ISBLANK(F85), "", F85 * D85)</f>
        <v/>
      </c>
      <c r="J85" s="17">
        <f>IF(ISBLANK(F85), "⏳ Pending", IF(G85=0, "✅ Match", IF(G85&lt;0, "⚠️ Shortage", "🔺 Surplus")))</f>
        <v/>
      </c>
      <c r="K85" s="18" t="inlineStr">
        <is>
          <t>Cashier receipt printer</t>
        </is>
      </c>
    </row>
    <row r="86" ht="22" customHeight="1">
      <c r="A86" s="29" t="inlineStr">
        <is>
          <t>Subtotal — Cups, Lids &amp; Packaging Disposables:</t>
        </is>
      </c>
      <c r="B86" s="30" t="n"/>
      <c r="C86" s="30" t="n"/>
      <c r="D86" s="30" t="inlineStr"/>
      <c r="E86" s="31">
        <f>SUM(E75:E85)</f>
        <v/>
      </c>
      <c r="F86" s="31">
        <f>SUM(F75:F85)</f>
        <v/>
      </c>
      <c r="G86" s="32">
        <f>SUM(G75:G85)</f>
        <v/>
      </c>
      <c r="H86" s="33">
        <f>SUM(H75:H85)</f>
        <v/>
      </c>
      <c r="I86" s="34">
        <f>SUM(I75:I85)</f>
        <v/>
      </c>
      <c r="J86" s="30" t="inlineStr"/>
      <c r="K86" s="30" t="inlineStr"/>
    </row>
    <row r="88" ht="26" customHeight="1">
      <c r="A88" s="46" t="inlineStr">
        <is>
          <t>🏆 GRAND TOTAL (AUDIT SUMMARY):</t>
        </is>
      </c>
      <c r="B88" s="47" t="n"/>
      <c r="C88" s="47" t="n"/>
      <c r="D88" s="47" t="n"/>
      <c r="E88" s="48">
        <f>SUM(E15, E24, E46, E61, E72, E86)</f>
        <v/>
      </c>
      <c r="F88" s="48">
        <f>SUM(F15, F24, F46, F61, F72, F86)</f>
        <v/>
      </c>
      <c r="G88" s="49">
        <f>SUM(G15, G24, G46, G61, G72, G86)</f>
        <v/>
      </c>
      <c r="H88" s="50">
        <f>SUM(H15, H24, H46, H61, H72, H86)</f>
        <v/>
      </c>
      <c r="I88" s="51">
        <f>SUM(I15, I24, I46, I61, I72, I86)</f>
        <v/>
      </c>
      <c r="J88" s="47" t="n"/>
      <c r="K88" s="47" t="n"/>
    </row>
    <row r="91">
      <c r="B91" s="52" t="inlineStr">
        <is>
          <t>Conducted By (Barista Signature): ____________________</t>
        </is>
      </c>
      <c r="F91" s="52" t="inlineStr">
        <is>
          <t>Audited &amp; Accepted By (Manager Signature): ____________________</t>
        </is>
      </c>
    </row>
    <row r="92">
      <c r="B92" s="53" t="inlineStr">
        <is>
          <t>Time Completed: ____________________</t>
        </is>
      </c>
      <c r="F92" s="53" t="inlineStr">
        <is>
          <t>Date Approved: ____________________</t>
        </is>
      </c>
    </row>
  </sheetData>
  <mergeCells count="21">
    <mergeCell ref="A48:K48"/>
    <mergeCell ref="A46:C46"/>
    <mergeCell ref="E5:F5"/>
    <mergeCell ref="A1:K1"/>
    <mergeCell ref="A86:C86"/>
    <mergeCell ref="E4:F4"/>
    <mergeCell ref="A72:C72"/>
    <mergeCell ref="A74:K74"/>
    <mergeCell ref="A26:K26"/>
    <mergeCell ref="A5:B5"/>
    <mergeCell ref="A2:K2"/>
    <mergeCell ref="I5:J5"/>
    <mergeCell ref="A15:C15"/>
    <mergeCell ref="A24:C24"/>
    <mergeCell ref="A17:K17"/>
    <mergeCell ref="A8:K8"/>
    <mergeCell ref="A4:B4"/>
    <mergeCell ref="I4:J4"/>
    <mergeCell ref="A61:C61"/>
    <mergeCell ref="A88:C88"/>
    <mergeCell ref="A63:K63"/>
  </mergeCells>
  <conditionalFormatting sqref="G9:H85">
    <cfRule type="cellIs" priority="1" operator="lessThan" dxfId="0" stopIfTrue="1">
      <formula>0</formula>
    </cfRule>
    <cfRule type="cellIs" priority="2" operator="greaterThanOrEqual" dxfId="1" stopIfTrue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5" customWidth="1" min="4" max="4"/>
    <col width="15" customWidth="1" min="5" max="5"/>
    <col width="21" customWidth="1" min="6" max="6"/>
    <col width="16" customWidth="1" min="7" max="7"/>
    <col width="18" customWidth="1" min="8" max="8"/>
    <col width="20" customWidth="1" min="9" max="9"/>
    <col width="16" customWidth="1" min="10" max="10"/>
    <col width="32" customWidth="1" min="11" max="11"/>
  </cols>
  <sheetData>
    <row r="1" ht="28" customHeight="1">
      <c r="A1" s="1" t="inlineStr">
        <is>
          <t>☕ ESPRESSO YOURSELF &amp; TEA HOUSE — PHYSICAL INVENTORY AUDIT</t>
        </is>
      </c>
    </row>
    <row r="2" ht="18" customHeight="1">
      <c r="A2" s="2" t="inlineStr">
        <is>
          <t>Branch: Cebu City (#30)  |  Audit Section: Chiller, Pastry &amp; Retail Count  |  Generated for Today's Stock Count</t>
        </is>
      </c>
    </row>
    <row r="4" ht="22" customHeight="1">
      <c r="A4" s="3" t="inlineStr">
        <is>
          <t>AUDIT DATE:</t>
        </is>
      </c>
      <c r="C4" s="4" t="inlineStr">
        <is>
          <t>September 15, 2026</t>
        </is>
      </c>
      <c r="E4" s="3" t="inlineStr">
        <is>
          <t>COUNTED BY (BARISTA):</t>
        </is>
      </c>
      <c r="G4" s="4" t="inlineStr">
        <is>
          <t>________________________</t>
        </is>
      </c>
      <c r="I4" s="3" t="inlineStr">
        <is>
          <t>STATUS:</t>
        </is>
      </c>
      <c r="K4" s="4" t="inlineStr">
        <is>
          <t>READY FOR COUNT</t>
        </is>
      </c>
    </row>
    <row r="5" ht="22" customHeight="1">
      <c r="A5" s="3" t="inlineStr">
        <is>
          <t>STORE SHIFT:</t>
        </is>
      </c>
      <c r="C5" s="4" t="inlineStr">
        <is>
          <t>All-Day / Closing Audit</t>
        </is>
      </c>
      <c r="E5" s="3" t="inlineStr">
        <is>
          <t>VERIFIED BY (SUPERVISOR):</t>
        </is>
      </c>
      <c r="G5" s="4" t="inlineStr">
        <is>
          <t>________________________</t>
        </is>
      </c>
      <c r="I5" s="3" t="inlineStr">
        <is>
          <t>DISCREPANCY ACTION:</t>
        </is>
      </c>
      <c r="K5" s="4" t="inlineStr">
        <is>
          <t>Requires Manager Sign-off</t>
        </is>
      </c>
    </row>
    <row r="7" ht="28" customHeight="1">
      <c r="A7" s="5" t="inlineStr">
        <is>
          <t>SKU / CODE</t>
        </is>
      </c>
      <c r="B7" s="5" t="inlineStr">
        <is>
          <t>ITEM DESCRIPTION &amp; SPECS</t>
        </is>
      </c>
      <c r="C7" s="5" t="inlineStr">
        <is>
          <t>UOM</t>
        </is>
      </c>
      <c r="D7" s="5" t="inlineStr">
        <is>
          <t>UNIT COST (₱)</t>
        </is>
      </c>
      <c r="E7" s="5" t="inlineStr">
        <is>
          <t>SYSTEM STOCK</t>
        </is>
      </c>
      <c r="F7" s="6" t="inlineStr">
        <is>
          <t>★ PHYSICAL COUNT ★</t>
        </is>
      </c>
      <c r="G7" s="5" t="inlineStr">
        <is>
          <t>VARIANCE (QTY)</t>
        </is>
      </c>
      <c r="H7" s="5" t="inlineStr">
        <is>
          <t>VARIANCE VALUE (₱)</t>
        </is>
      </c>
      <c r="I7" s="5" t="inlineStr">
        <is>
          <t>TOTAL COUNT VALUE (₱)</t>
        </is>
      </c>
      <c r="J7" s="5" t="inlineStr">
        <is>
          <t>AUDIT STATUS</t>
        </is>
      </c>
      <c r="K7" s="5" t="inlineStr">
        <is>
          <t>BARISTA REMARKS / EXPIRY</t>
        </is>
      </c>
    </row>
    <row r="8" ht="24" customHeight="1">
      <c r="A8" s="39" t="inlineStr">
        <is>
          <t xml:space="preserve">  🥤  6. RETAIL BOTTLED BEVERAGES &amp; BEERS</t>
        </is>
      </c>
    </row>
    <row r="9" ht="21" customHeight="1">
      <c r="A9" s="8" t="inlineStr">
        <is>
          <t>RET-001</t>
        </is>
      </c>
      <c r="B9" s="9" t="inlineStr">
        <is>
          <t>Nature Spring Mineral Water 500ml</t>
        </is>
      </c>
      <c r="C9" s="10" t="inlineStr">
        <is>
          <t>Bot (500ml)</t>
        </is>
      </c>
      <c r="D9" s="11" t="n">
        <v>12</v>
      </c>
      <c r="E9" s="12" t="n">
        <v>50</v>
      </c>
      <c r="F9" s="13" t="n"/>
      <c r="G9" s="14">
        <f>IF(ISBLANK(F9), "", F9 - E9)</f>
        <v/>
      </c>
      <c r="H9" s="15">
        <f>IF(ISBLANK(F9), "", G9 * D9)</f>
        <v/>
      </c>
      <c r="I9" s="16">
        <f>IF(ISBLANK(F9), "", F9 * D9)</f>
        <v/>
      </c>
      <c r="J9" s="17">
        <f>IF(ISBLANK(F9), "⏳ Pending", IF(G9=0, "✅ Match", IF(G9&lt;0, "⚠️ Shortage", "🔺 Surplus")))</f>
        <v/>
      </c>
      <c r="K9" s="18" t="inlineStr">
        <is>
          <t>Chiller front | SRP: ₱20.00</t>
        </is>
      </c>
    </row>
    <row r="10" ht="21" customHeight="1">
      <c r="A10" s="19" t="inlineStr">
        <is>
          <t>RET-002</t>
        </is>
      </c>
      <c r="B10" s="20" t="inlineStr">
        <is>
          <t>Nature Spring Mineral Water 1L</t>
        </is>
      </c>
      <c r="C10" s="21" t="inlineStr">
        <is>
          <t>Bot (1L)</t>
        </is>
      </c>
      <c r="D10" s="22" t="n">
        <v>18</v>
      </c>
      <c r="E10" s="23" t="n">
        <v>20</v>
      </c>
      <c r="F10" s="13" t="n"/>
      <c r="G10" s="24">
        <f>IF(ISBLANK(F10), "", F10 - E10)</f>
        <v/>
      </c>
      <c r="H10" s="25">
        <f>IF(ISBLANK(F10), "", G10 * D10)</f>
        <v/>
      </c>
      <c r="I10" s="26">
        <f>IF(ISBLANK(F10), "", F10 * D10)</f>
        <v/>
      </c>
      <c r="J10" s="27">
        <f>IF(ISBLANK(F10), "⏳ Pending", IF(G10=0, "✅ Match", IF(G10&lt;0, "⚠️ Shortage", "🔺 Surplus")))</f>
        <v/>
      </c>
      <c r="K10" s="28" t="inlineStr">
        <is>
          <t>Chiller front | SRP: ₱30.00</t>
        </is>
      </c>
    </row>
    <row r="11" ht="21" customHeight="1">
      <c r="A11" s="8" t="inlineStr">
        <is>
          <t>RET-003</t>
        </is>
      </c>
      <c r="B11" s="9" t="inlineStr">
        <is>
          <t>Perrier Sparkling Mineral Water 330ml</t>
        </is>
      </c>
      <c r="C11" s="10" t="inlineStr">
        <is>
          <t>Bot (330ml)</t>
        </is>
      </c>
      <c r="D11" s="11" t="n">
        <v>110</v>
      </c>
      <c r="E11" s="12" t="n">
        <v>12</v>
      </c>
      <c r="F11" s="13" t="n"/>
      <c r="G11" s="14">
        <f>IF(ISBLANK(F11), "", F11 - E11)</f>
        <v/>
      </c>
      <c r="H11" s="15">
        <f>IF(ISBLANK(F11), "", G11 * D11)</f>
        <v/>
      </c>
      <c r="I11" s="16">
        <f>IF(ISBLANK(F11), "", F11 * D11)</f>
        <v/>
      </c>
      <c r="J11" s="17">
        <f>IF(ISBLANK(F11), "⏳ Pending", IF(G11=0, "✅ Match", IF(G11&lt;0, "⚠️ Shortage", "🔺 Surplus")))</f>
        <v/>
      </c>
      <c r="K11" s="18" t="inlineStr">
        <is>
          <t>Chiller front | SRP: ₱199.00</t>
        </is>
      </c>
    </row>
    <row r="12" ht="21" customHeight="1">
      <c r="A12" s="19" t="inlineStr">
        <is>
          <t>RET-004</t>
        </is>
      </c>
      <c r="B12" s="20" t="inlineStr">
        <is>
          <t>Evian Natural Spring Water 500ml</t>
        </is>
      </c>
      <c r="C12" s="21" t="inlineStr">
        <is>
          <t>Bot (500ml)</t>
        </is>
      </c>
      <c r="D12" s="22" t="n">
        <v>95</v>
      </c>
      <c r="E12" s="23" t="n">
        <v>12</v>
      </c>
      <c r="F12" s="13" t="n"/>
      <c r="G12" s="24">
        <f>IF(ISBLANK(F12), "", F12 - E12)</f>
        <v/>
      </c>
      <c r="H12" s="25">
        <f>IF(ISBLANK(F12), "", G12 * D12)</f>
        <v/>
      </c>
      <c r="I12" s="26">
        <f>IF(ISBLANK(F12), "", F12 * D12)</f>
        <v/>
      </c>
      <c r="J12" s="27">
        <f>IF(ISBLANK(F12), "⏳ Pending", IF(G12=0, "✅ Match", IF(G12&lt;0, "⚠️ Shortage", "🔺 Surplus")))</f>
        <v/>
      </c>
      <c r="K12" s="28" t="inlineStr">
        <is>
          <t>Chiller front | SRP: ₱169.00</t>
        </is>
      </c>
    </row>
    <row r="13" ht="21" customHeight="1">
      <c r="A13" s="8" t="inlineStr">
        <is>
          <t>RET-005</t>
        </is>
      </c>
      <c r="B13" s="9" t="inlineStr">
        <is>
          <t>Coca-Cola Regular 320ml Can</t>
        </is>
      </c>
      <c r="C13" s="10" t="inlineStr">
        <is>
          <t>Can (320ml)</t>
        </is>
      </c>
      <c r="D13" s="11" t="n">
        <v>35</v>
      </c>
      <c r="E13" s="12" t="n">
        <v>24</v>
      </c>
      <c r="F13" s="13" t="n"/>
      <c r="G13" s="14">
        <f>IF(ISBLANK(F13), "", F13 - E13)</f>
        <v/>
      </c>
      <c r="H13" s="15">
        <f>IF(ISBLANK(F13), "", G13 * D13)</f>
        <v/>
      </c>
      <c r="I13" s="16">
        <f>IF(ISBLANK(F13), "", F13 * D13)</f>
        <v/>
      </c>
      <c r="J13" s="17">
        <f>IF(ISBLANK(F13), "⏳ Pending", IF(G13=0, "✅ Match", IF(G13&lt;0, "⚠️ Shortage", "🔺 Surplus")))</f>
        <v/>
      </c>
      <c r="K13" s="18" t="inlineStr">
        <is>
          <t>Chiller front | SRP: ₱69.00</t>
        </is>
      </c>
    </row>
    <row r="14" ht="21" customHeight="1">
      <c r="A14" s="19" t="inlineStr">
        <is>
          <t>RET-006</t>
        </is>
      </c>
      <c r="B14" s="20" t="inlineStr">
        <is>
          <t>Coca-Cola Zero Sugar 320ml Can</t>
        </is>
      </c>
      <c r="C14" s="21" t="inlineStr">
        <is>
          <t>Can (320ml)</t>
        </is>
      </c>
      <c r="D14" s="22" t="n">
        <v>35</v>
      </c>
      <c r="E14" s="23" t="n">
        <v>24</v>
      </c>
      <c r="F14" s="13" t="n"/>
      <c r="G14" s="24">
        <f>IF(ISBLANK(F14), "", F14 - E14)</f>
        <v/>
      </c>
      <c r="H14" s="25">
        <f>IF(ISBLANK(F14), "", G14 * D14)</f>
        <v/>
      </c>
      <c r="I14" s="26">
        <f>IF(ISBLANK(F14), "", F14 * D14)</f>
        <v/>
      </c>
      <c r="J14" s="27">
        <f>IF(ISBLANK(F14), "⏳ Pending", IF(G14=0, "✅ Match", IF(G14&lt;0, "⚠️ Shortage", "🔺 Surplus")))</f>
        <v/>
      </c>
      <c r="K14" s="28" t="inlineStr">
        <is>
          <t>Chiller front | SRP: ₱69.00</t>
        </is>
      </c>
    </row>
    <row r="15" ht="21" customHeight="1">
      <c r="A15" s="8" t="inlineStr">
        <is>
          <t>RET-007</t>
        </is>
      </c>
      <c r="B15" s="9" t="inlineStr">
        <is>
          <t>Sprite Soda 320ml Can</t>
        </is>
      </c>
      <c r="C15" s="10" t="inlineStr">
        <is>
          <t>Can (320ml)</t>
        </is>
      </c>
      <c r="D15" s="11" t="n">
        <v>35</v>
      </c>
      <c r="E15" s="12" t="n">
        <v>24</v>
      </c>
      <c r="F15" s="13" t="n"/>
      <c r="G15" s="14">
        <f>IF(ISBLANK(F15), "", F15 - E15)</f>
        <v/>
      </c>
      <c r="H15" s="15">
        <f>IF(ISBLANK(F15), "", G15 * D15)</f>
        <v/>
      </c>
      <c r="I15" s="16">
        <f>IF(ISBLANK(F15), "", F15 * D15)</f>
        <v/>
      </c>
      <c r="J15" s="17">
        <f>IF(ISBLANK(F15), "⏳ Pending", IF(G15=0, "✅ Match", IF(G15&lt;0, "⚠️ Shortage", "🔺 Surplus")))</f>
        <v/>
      </c>
      <c r="K15" s="18" t="inlineStr">
        <is>
          <t>Chiller front | SRP: ₱69.00</t>
        </is>
      </c>
    </row>
    <row r="16" ht="21" customHeight="1">
      <c r="A16" s="19" t="inlineStr">
        <is>
          <t>RET-008</t>
        </is>
      </c>
      <c r="B16" s="20" t="inlineStr">
        <is>
          <t>San Mig Light - Apple Bottle</t>
        </is>
      </c>
      <c r="C16" s="21" t="inlineStr">
        <is>
          <t>Bot (330ml)</t>
        </is>
      </c>
      <c r="D16" s="22" t="n">
        <v>48</v>
      </c>
      <c r="E16" s="23" t="n">
        <v>12</v>
      </c>
      <c r="F16" s="13" t="n"/>
      <c r="G16" s="24">
        <f>IF(ISBLANK(F16), "", F16 - E16)</f>
        <v/>
      </c>
      <c r="H16" s="25">
        <f>IF(ISBLANK(F16), "", G16 * D16)</f>
        <v/>
      </c>
      <c r="I16" s="26">
        <f>IF(ISBLANK(F16), "", F16 * D16)</f>
        <v/>
      </c>
      <c r="J16" s="27">
        <f>IF(ISBLANK(F16), "⏳ Pending", IF(G16=0, "✅ Match", IF(G16&lt;0, "⚠️ Shortage", "🔺 Surplus")))</f>
        <v/>
      </c>
      <c r="K16" s="28" t="inlineStr">
        <is>
          <t>Chiller front | SRP: ₱70.00</t>
        </is>
      </c>
    </row>
    <row r="17" ht="21" customHeight="1">
      <c r="A17" s="8" t="inlineStr">
        <is>
          <t>RET-009</t>
        </is>
      </c>
      <c r="B17" s="9" t="inlineStr">
        <is>
          <t>San Miguel Pale Pilsen 320ml Bottle</t>
        </is>
      </c>
      <c r="C17" s="10" t="inlineStr">
        <is>
          <t>Bot (320ml)</t>
        </is>
      </c>
      <c r="D17" s="11" t="n">
        <v>52</v>
      </c>
      <c r="E17" s="12" t="n">
        <v>12</v>
      </c>
      <c r="F17" s="13" t="n"/>
      <c r="G17" s="14">
        <f>IF(ISBLANK(F17), "", F17 - E17)</f>
        <v/>
      </c>
      <c r="H17" s="15">
        <f>IF(ISBLANK(F17), "", G17 * D17)</f>
        <v/>
      </c>
      <c r="I17" s="16">
        <f>IF(ISBLANK(F17), "", F17 * D17)</f>
        <v/>
      </c>
      <c r="J17" s="17">
        <f>IF(ISBLANK(F17), "⏳ Pending", IF(G17=0, "✅ Match", IF(G17&lt;0, "⚠️ Shortage", "🔺 Surplus")))</f>
        <v/>
      </c>
      <c r="K17" s="18" t="inlineStr">
        <is>
          <t>Chiller front | SRP: ₱80.00</t>
        </is>
      </c>
    </row>
    <row r="18" ht="21" customHeight="1">
      <c r="A18" s="19" t="inlineStr">
        <is>
          <t>RET-010</t>
        </is>
      </c>
      <c r="B18" s="20" t="inlineStr">
        <is>
          <t>Red Horse Stallion 330ml Bottle</t>
        </is>
      </c>
      <c r="C18" s="21" t="inlineStr">
        <is>
          <t>Bot (330ml)</t>
        </is>
      </c>
      <c r="D18" s="22" t="n">
        <v>55</v>
      </c>
      <c r="E18" s="23" t="n">
        <v>15</v>
      </c>
      <c r="F18" s="13" t="n"/>
      <c r="G18" s="24">
        <f>IF(ISBLANK(F18), "", F18 - E18)</f>
        <v/>
      </c>
      <c r="H18" s="25">
        <f>IF(ISBLANK(F18), "", G18 * D18)</f>
        <v/>
      </c>
      <c r="I18" s="26">
        <f>IF(ISBLANK(F18), "", F18 * D18)</f>
        <v/>
      </c>
      <c r="J18" s="27">
        <f>IF(ISBLANK(F18), "⏳ Pending", IF(G18=0, "✅ Match", IF(G18&lt;0, "⚠️ Shortage", "🔺 Surplus")))</f>
        <v/>
      </c>
      <c r="K18" s="28" t="inlineStr">
        <is>
          <t>Chiller front | SRP: ₱85.00</t>
        </is>
      </c>
    </row>
    <row r="19" ht="22" customHeight="1">
      <c r="A19" s="29" t="inlineStr">
        <is>
          <t>Subtotal — Retail Bottled Beverages &amp; Beers:</t>
        </is>
      </c>
      <c r="B19" s="30" t="n"/>
      <c r="C19" s="30" t="n"/>
      <c r="D19" s="30" t="inlineStr"/>
      <c r="E19" s="31">
        <f>SUM(E9:E18)</f>
        <v/>
      </c>
      <c r="F19" s="31">
        <f>SUM(F9:F18)</f>
        <v/>
      </c>
      <c r="G19" s="32">
        <f>SUM(G9:G18)</f>
        <v/>
      </c>
      <c r="H19" s="33">
        <f>SUM(H9:H18)</f>
        <v/>
      </c>
      <c r="I19" s="34">
        <f>SUM(I9:I18)</f>
        <v/>
      </c>
      <c r="J19" s="30" t="inlineStr"/>
      <c r="K19" s="30" t="inlineStr"/>
    </row>
    <row r="21" ht="24" customHeight="1">
      <c r="A21" s="40" t="inlineStr">
        <is>
          <t xml:space="preserve">  🥨  7. PASTRIES, BAKERY &amp; GRAB-AND-GO SNACKS</t>
        </is>
      </c>
    </row>
    <row r="22" ht="21" customHeight="1">
      <c r="A22" s="8" t="inlineStr">
        <is>
          <t>PAS-001</t>
        </is>
      </c>
      <c r="B22" s="9" t="inlineStr">
        <is>
          <t>Special Ensaymada (Pack of 6pcs)</t>
        </is>
      </c>
      <c r="C22" s="10" t="inlineStr">
        <is>
          <t>Pack (6s)</t>
        </is>
      </c>
      <c r="D22" s="11" t="n">
        <v>45</v>
      </c>
      <c r="E22" s="12" t="n">
        <v>6</v>
      </c>
      <c r="F22" s="13" t="n"/>
      <c r="G22" s="14">
        <f>IF(ISBLANK(F22), "", F22 - E22)</f>
        <v/>
      </c>
      <c r="H22" s="15">
        <f>IF(ISBLANK(F22), "", G22 * D22)</f>
        <v/>
      </c>
      <c r="I22" s="16">
        <f>IF(ISBLANK(F22), "", F22 * D22)</f>
        <v/>
      </c>
      <c r="J22" s="17">
        <f>IF(ISBLANK(F22), "⏳ Pending", IF(G22=0, "✅ Match", IF(G22&lt;0, "⚠️ Shortage", "🔺 Surplus")))</f>
        <v/>
      </c>
      <c r="K22" s="18" t="inlineStr">
        <is>
          <t>Pastry display | SRP: ₱69.00</t>
        </is>
      </c>
    </row>
    <row r="23" ht="21" customHeight="1">
      <c r="A23" s="19" t="inlineStr">
        <is>
          <t>PAS-002</t>
        </is>
      </c>
      <c r="B23" s="20" t="inlineStr">
        <is>
          <t>Chocolate Crinkles Pack</t>
        </is>
      </c>
      <c r="C23" s="21" t="inlineStr">
        <is>
          <t>Pack</t>
        </is>
      </c>
      <c r="D23" s="22" t="n">
        <v>25</v>
      </c>
      <c r="E23" s="23" t="n">
        <v>8</v>
      </c>
      <c r="F23" s="13" t="n"/>
      <c r="G23" s="24">
        <f>IF(ISBLANK(F23), "", F23 - E23)</f>
        <v/>
      </c>
      <c r="H23" s="25">
        <f>IF(ISBLANK(F23), "", G23 * D23)</f>
        <v/>
      </c>
      <c r="I23" s="26">
        <f>IF(ISBLANK(F23), "", F23 * D23)</f>
        <v/>
      </c>
      <c r="J23" s="27">
        <f>IF(ISBLANK(F23), "⏳ Pending", IF(G23=0, "✅ Match", IF(G23&lt;0, "⚠️ Shortage", "🔺 Surplus")))</f>
        <v/>
      </c>
      <c r="K23" s="28" t="inlineStr">
        <is>
          <t>Pastry display | SRP: ₱39.00</t>
        </is>
      </c>
    </row>
    <row r="24" ht="21" customHeight="1">
      <c r="A24" s="8" t="inlineStr">
        <is>
          <t>PAS-003</t>
        </is>
      </c>
      <c r="B24" s="9" t="inlineStr">
        <is>
          <t>Assorted Gourmet Muffins</t>
        </is>
      </c>
      <c r="C24" s="10" t="inlineStr">
        <is>
          <t>Pieces</t>
        </is>
      </c>
      <c r="D24" s="11" t="n">
        <v>75</v>
      </c>
      <c r="E24" s="12" t="n">
        <v>5</v>
      </c>
      <c r="F24" s="13" t="n"/>
      <c r="G24" s="14">
        <f>IF(ISBLANK(F24), "", F24 - E24)</f>
        <v/>
      </c>
      <c r="H24" s="15">
        <f>IF(ISBLANK(F24), "", G24 * D24)</f>
        <v/>
      </c>
      <c r="I24" s="16">
        <f>IF(ISBLANK(F24), "", F24 * D24)</f>
        <v/>
      </c>
      <c r="J24" s="17">
        <f>IF(ISBLANK(F24), "⏳ Pending", IF(G24=0, "✅ Match", IF(G24&lt;0, "⚠️ Shortage", "🔺 Surplus")))</f>
        <v/>
      </c>
      <c r="K24" s="18" t="inlineStr">
        <is>
          <t>Pastry display | SRP: ₱129.00</t>
        </is>
      </c>
    </row>
    <row r="25" ht="21" customHeight="1">
      <c r="A25" s="19" t="inlineStr">
        <is>
          <t>PAS-004</t>
        </is>
      </c>
      <c r="B25" s="20" t="inlineStr">
        <is>
          <t>Sliced Pastry Cake</t>
        </is>
      </c>
      <c r="C25" s="21" t="inlineStr">
        <is>
          <t>Pieces</t>
        </is>
      </c>
      <c r="D25" s="22" t="n">
        <v>30</v>
      </c>
      <c r="E25" s="23" t="n">
        <v>20</v>
      </c>
      <c r="F25" s="13" t="n"/>
      <c r="G25" s="24">
        <f>IF(ISBLANK(F25), "", F25 - E25)</f>
        <v/>
      </c>
      <c r="H25" s="25">
        <f>IF(ISBLANK(F25), "", G25 * D25)</f>
        <v/>
      </c>
      <c r="I25" s="26">
        <f>IF(ISBLANK(F25), "", F25 * D25)</f>
        <v/>
      </c>
      <c r="J25" s="27">
        <f>IF(ISBLANK(F25), "⏳ Pending", IF(G25=0, "✅ Match", IF(G25&lt;0, "⚠️ Shortage", "🔺 Surplus")))</f>
        <v/>
      </c>
      <c r="K25" s="28" t="inlineStr">
        <is>
          <t>Pastry display | SRP: ₱49.00</t>
        </is>
      </c>
    </row>
    <row r="26" ht="21" customHeight="1">
      <c r="A26" s="8" t="inlineStr">
        <is>
          <t>SNK-001</t>
        </is>
      </c>
      <c r="B26" s="9" t="inlineStr">
        <is>
          <t>Pringles Potato Crisps Original 158g</t>
        </is>
      </c>
      <c r="C26" s="10" t="inlineStr">
        <is>
          <t>Can (158g)</t>
        </is>
      </c>
      <c r="D26" s="11" t="n">
        <v>98</v>
      </c>
      <c r="E26" s="12" t="n">
        <v>10</v>
      </c>
      <c r="F26" s="13" t="n"/>
      <c r="G26" s="14">
        <f>IF(ISBLANK(F26), "", F26 - E26)</f>
        <v/>
      </c>
      <c r="H26" s="15">
        <f>IF(ISBLANK(F26), "", G26 * D26)</f>
        <v/>
      </c>
      <c r="I26" s="16">
        <f>IF(ISBLANK(F26), "", F26 * D26)</f>
        <v/>
      </c>
      <c r="J26" s="17">
        <f>IF(ISBLANK(F26), "⏳ Pending", IF(G26=0, "✅ Match", IF(G26&lt;0, "⚠️ Shortage", "🔺 Surplus")))</f>
        <v/>
      </c>
      <c r="K26" s="18" t="inlineStr">
        <is>
          <t>Retail shelf | SRP: ₱149.00</t>
        </is>
      </c>
    </row>
    <row r="27" ht="21" customHeight="1">
      <c r="A27" s="19" t="inlineStr">
        <is>
          <t>SNK-002</t>
        </is>
      </c>
      <c r="B27" s="20" t="inlineStr">
        <is>
          <t>Pringles Sour Cream &amp; Onion 158g</t>
        </is>
      </c>
      <c r="C27" s="21" t="inlineStr">
        <is>
          <t>Can (158g)</t>
        </is>
      </c>
      <c r="D27" s="22" t="n">
        <v>98</v>
      </c>
      <c r="E27" s="23" t="n">
        <v>10</v>
      </c>
      <c r="F27" s="13" t="n"/>
      <c r="G27" s="24">
        <f>IF(ISBLANK(F27), "", F27 - E27)</f>
        <v/>
      </c>
      <c r="H27" s="25">
        <f>IF(ISBLANK(F27), "", G27 * D27)</f>
        <v/>
      </c>
      <c r="I27" s="26">
        <f>IF(ISBLANK(F27), "", F27 * D27)</f>
        <v/>
      </c>
      <c r="J27" s="27">
        <f>IF(ISBLANK(F27), "⏳ Pending", IF(G27=0, "✅ Match", IF(G27&lt;0, "⚠️ Shortage", "🔺 Surplus")))</f>
        <v/>
      </c>
      <c r="K27" s="28" t="inlineStr">
        <is>
          <t>Retail shelf | SRP: ₱149.00</t>
        </is>
      </c>
    </row>
    <row r="28" ht="21" customHeight="1">
      <c r="A28" s="8" t="inlineStr">
        <is>
          <t>SNK-003</t>
        </is>
      </c>
      <c r="B28" s="9" t="inlineStr">
        <is>
          <t>Pringles Cheddar Cheese 158g</t>
        </is>
      </c>
      <c r="C28" s="10" t="inlineStr">
        <is>
          <t>Can (158g)</t>
        </is>
      </c>
      <c r="D28" s="11" t="n">
        <v>98</v>
      </c>
      <c r="E28" s="12" t="n">
        <v>10</v>
      </c>
      <c r="F28" s="13" t="n"/>
      <c r="G28" s="14">
        <f>IF(ISBLANK(F28), "", F28 - E28)</f>
        <v/>
      </c>
      <c r="H28" s="15">
        <f>IF(ISBLANK(F28), "", G28 * D28)</f>
        <v/>
      </c>
      <c r="I28" s="16">
        <f>IF(ISBLANK(F28), "", F28 * D28)</f>
        <v/>
      </c>
      <c r="J28" s="17">
        <f>IF(ISBLANK(F28), "⏳ Pending", IF(G28=0, "✅ Match", IF(G28&lt;0, "⚠️ Shortage", "🔺 Surplus")))</f>
        <v/>
      </c>
      <c r="K28" s="18" t="inlineStr">
        <is>
          <t>Retail shelf | SRP: ₱149.00</t>
        </is>
      </c>
    </row>
    <row r="29" ht="21" customHeight="1">
      <c r="A29" s="19" t="inlineStr">
        <is>
          <t>SNK-004</t>
        </is>
      </c>
      <c r="B29" s="20" t="inlineStr">
        <is>
          <t>Cheetos Cheddar Jalapeño 226.8g</t>
        </is>
      </c>
      <c r="C29" s="21" t="inlineStr">
        <is>
          <t>Pack</t>
        </is>
      </c>
      <c r="D29" s="22" t="n">
        <v>98</v>
      </c>
      <c r="E29" s="23" t="n">
        <v>8</v>
      </c>
      <c r="F29" s="13" t="n"/>
      <c r="G29" s="24">
        <f>IF(ISBLANK(F29), "", F29 - E29)</f>
        <v/>
      </c>
      <c r="H29" s="25">
        <f>IF(ISBLANK(F29), "", G29 * D29)</f>
        <v/>
      </c>
      <c r="I29" s="26">
        <f>IF(ISBLANK(F29), "", F29 * D29)</f>
        <v/>
      </c>
      <c r="J29" s="27">
        <f>IF(ISBLANK(F29), "⏳ Pending", IF(G29=0, "✅ Match", IF(G29&lt;0, "⚠️ Shortage", "🔺 Surplus")))</f>
        <v/>
      </c>
      <c r="K29" s="28" t="inlineStr">
        <is>
          <t>Retail shelf | SRP: ₱149.00</t>
        </is>
      </c>
    </row>
    <row r="30" ht="21" customHeight="1">
      <c r="A30" s="8" t="inlineStr">
        <is>
          <t>SNK-005</t>
        </is>
      </c>
      <c r="B30" s="9" t="inlineStr">
        <is>
          <t>Butter Lover Popcorn Bag</t>
        </is>
      </c>
      <c r="C30" s="10" t="inlineStr">
        <is>
          <t>Bag</t>
        </is>
      </c>
      <c r="D30" s="11" t="n">
        <v>85</v>
      </c>
      <c r="E30" s="12" t="n">
        <v>12</v>
      </c>
      <c r="F30" s="13" t="n"/>
      <c r="G30" s="14">
        <f>IF(ISBLANK(F30), "", F30 - E30)</f>
        <v/>
      </c>
      <c r="H30" s="15">
        <f>IF(ISBLANK(F30), "", G30 * D30)</f>
        <v/>
      </c>
      <c r="I30" s="16">
        <f>IF(ISBLANK(F30), "", F30 * D30)</f>
        <v/>
      </c>
      <c r="J30" s="17">
        <f>IF(ISBLANK(F30), "⏳ Pending", IF(G30=0, "✅ Match", IF(G30&lt;0, "⚠️ Shortage", "🔺 Surplus")))</f>
        <v/>
      </c>
      <c r="K30" s="18" t="inlineStr">
        <is>
          <t>Retail shelf | SRP: ₱149.00</t>
        </is>
      </c>
    </row>
    <row r="31" ht="22" customHeight="1">
      <c r="A31" s="29" t="inlineStr">
        <is>
          <t>Subtotal — Pastries, Bakery &amp; Grab-and-Go Snacks:</t>
        </is>
      </c>
      <c r="B31" s="30" t="n"/>
      <c r="C31" s="30" t="n"/>
      <c r="D31" s="30" t="inlineStr"/>
      <c r="E31" s="31">
        <f>SUM(E22:E30)</f>
        <v/>
      </c>
      <c r="F31" s="31">
        <f>SUM(F22:F30)</f>
        <v/>
      </c>
      <c r="G31" s="32">
        <f>SUM(G22:G30)</f>
        <v/>
      </c>
      <c r="H31" s="33">
        <f>SUM(H22:H30)</f>
        <v/>
      </c>
      <c r="I31" s="34">
        <f>SUM(I22:I30)</f>
        <v/>
      </c>
      <c r="J31" s="30" t="inlineStr"/>
      <c r="K31" s="30" t="inlineStr"/>
    </row>
    <row r="33" ht="24" customHeight="1">
      <c r="A33" s="41" t="inlineStr">
        <is>
          <t xml:space="preserve">  🎁  8. MERCHANDISE &amp; COLLECTOR MUGS</t>
        </is>
      </c>
    </row>
    <row r="34" ht="21" customHeight="1">
      <c r="A34" s="8" t="inlineStr">
        <is>
          <t>MRC-001</t>
        </is>
      </c>
      <c r="B34" s="9" t="inlineStr">
        <is>
          <t>Mickey Mouse Ceramic Mug (with Box)</t>
        </is>
      </c>
      <c r="C34" s="10" t="inlineStr">
        <is>
          <t>Piece</t>
        </is>
      </c>
      <c r="D34" s="11" t="n">
        <v>350</v>
      </c>
      <c r="E34" s="12" t="n">
        <v>20</v>
      </c>
      <c r="F34" s="13" t="n"/>
      <c r="G34" s="14">
        <f>IF(ISBLANK(F34), "", F34 - E34)</f>
        <v/>
      </c>
      <c r="H34" s="15">
        <f>IF(ISBLANK(F34), "", G34 * D34)</f>
        <v/>
      </c>
      <c r="I34" s="16">
        <f>IF(ISBLANK(F34), "", F34 * D34)</f>
        <v/>
      </c>
      <c r="J34" s="17">
        <f>IF(ISBLANK(F34), "⏳ Pending", IF(G34=0, "✅ Match", IF(G34&lt;0, "⚠️ Shortage", "🔺 Surplus")))</f>
        <v/>
      </c>
      <c r="K34" s="18" t="inlineStr">
        <is>
          <t>Display cabinet | SRP: ₱599.00</t>
        </is>
      </c>
    </row>
    <row r="35" ht="21" customHeight="1">
      <c r="A35" s="19" t="inlineStr">
        <is>
          <t>MRC-002</t>
        </is>
      </c>
      <c r="B35" s="20" t="inlineStr">
        <is>
          <t>Stitch Ceramic Mug (with Box)</t>
        </is>
      </c>
      <c r="C35" s="21" t="inlineStr">
        <is>
          <t>Piece</t>
        </is>
      </c>
      <c r="D35" s="22" t="n">
        <v>350</v>
      </c>
      <c r="E35" s="23" t="n">
        <v>20</v>
      </c>
      <c r="F35" s="13" t="n"/>
      <c r="G35" s="24">
        <f>IF(ISBLANK(F35), "", F35 - E35)</f>
        <v/>
      </c>
      <c r="H35" s="25">
        <f>IF(ISBLANK(F35), "", G35 * D35)</f>
        <v/>
      </c>
      <c r="I35" s="26">
        <f>IF(ISBLANK(F35), "", F35 * D35)</f>
        <v/>
      </c>
      <c r="J35" s="27">
        <f>IF(ISBLANK(F35), "⏳ Pending", IF(G35=0, "✅ Match", IF(G35&lt;0, "⚠️ Shortage", "🔺 Surplus")))</f>
        <v/>
      </c>
      <c r="K35" s="28" t="inlineStr">
        <is>
          <t>Display cabinet | SRP: ₱599.00</t>
        </is>
      </c>
    </row>
    <row r="36" ht="21" customHeight="1">
      <c r="A36" s="8" t="inlineStr">
        <is>
          <t>MRC-003</t>
        </is>
      </c>
      <c r="B36" s="9" t="inlineStr">
        <is>
          <t>Lotso Bear Ceramic Mug (with Box)</t>
        </is>
      </c>
      <c r="C36" s="10" t="inlineStr">
        <is>
          <t>Piece</t>
        </is>
      </c>
      <c r="D36" s="11" t="n">
        <v>350</v>
      </c>
      <c r="E36" s="12" t="n">
        <v>20</v>
      </c>
      <c r="F36" s="13" t="n"/>
      <c r="G36" s="14">
        <f>IF(ISBLANK(F36), "", F36 - E36)</f>
        <v/>
      </c>
      <c r="H36" s="15">
        <f>IF(ISBLANK(F36), "", G36 * D36)</f>
        <v/>
      </c>
      <c r="I36" s="16">
        <f>IF(ISBLANK(F36), "", F36 * D36)</f>
        <v/>
      </c>
      <c r="J36" s="17">
        <f>IF(ISBLANK(F36), "⏳ Pending", IF(G36=0, "✅ Match", IF(G36&lt;0, "⚠️ Shortage", "🔺 Surplus")))</f>
        <v/>
      </c>
      <c r="K36" s="18" t="inlineStr">
        <is>
          <t>Display cabinet | SRP: ₱599.00</t>
        </is>
      </c>
    </row>
    <row r="37" ht="21" customHeight="1">
      <c r="A37" s="19" t="inlineStr">
        <is>
          <t>MRC-004</t>
        </is>
      </c>
      <c r="B37" s="20" t="inlineStr">
        <is>
          <t>Nick Wilde Fox Ceramic Mug (with Box)</t>
        </is>
      </c>
      <c r="C37" s="21" t="inlineStr">
        <is>
          <t>Piece</t>
        </is>
      </c>
      <c r="D37" s="22" t="n">
        <v>350</v>
      </c>
      <c r="E37" s="23" t="n">
        <v>20</v>
      </c>
      <c r="F37" s="13" t="n"/>
      <c r="G37" s="24">
        <f>IF(ISBLANK(F37), "", F37 - E37)</f>
        <v/>
      </c>
      <c r="H37" s="25">
        <f>IF(ISBLANK(F37), "", G37 * D37)</f>
        <v/>
      </c>
      <c r="I37" s="26">
        <f>IF(ISBLANK(F37), "", F37 * D37)</f>
        <v/>
      </c>
      <c r="J37" s="27">
        <f>IF(ISBLANK(F37), "⏳ Pending", IF(G37=0, "✅ Match", IF(G37&lt;0, "⚠️ Shortage", "🔺 Surplus")))</f>
        <v/>
      </c>
      <c r="K37" s="28" t="inlineStr">
        <is>
          <t>Display cabinet | SRP: ₱599.00</t>
        </is>
      </c>
    </row>
    <row r="38" ht="22" customHeight="1">
      <c r="A38" s="29" t="inlineStr">
        <is>
          <t>Subtotal — Merchandise &amp; Collector Mugs:</t>
        </is>
      </c>
      <c r="B38" s="30" t="n"/>
      <c r="C38" s="30" t="n"/>
      <c r="D38" s="30" t="inlineStr"/>
      <c r="E38" s="31">
        <f>SUM(E34:E37)</f>
        <v/>
      </c>
      <c r="F38" s="31">
        <f>SUM(F34:F37)</f>
        <v/>
      </c>
      <c r="G38" s="32">
        <f>SUM(G34:G37)</f>
        <v/>
      </c>
      <c r="H38" s="33">
        <f>SUM(H34:H37)</f>
        <v/>
      </c>
      <c r="I38" s="34">
        <f>SUM(I34:I37)</f>
        <v/>
      </c>
      <c r="J38" s="30" t="inlineStr"/>
      <c r="K38" s="30" t="inlineStr"/>
    </row>
    <row r="40" ht="26" customHeight="1">
      <c r="A40" s="46" t="inlineStr">
        <is>
          <t>🏆 GRAND TOTAL (AUDIT SUMMARY):</t>
        </is>
      </c>
      <c r="B40" s="47" t="n"/>
      <c r="C40" s="47" t="n"/>
      <c r="D40" s="47" t="n"/>
      <c r="E40" s="48">
        <f>SUM(E19, E31, E38)</f>
        <v/>
      </c>
      <c r="F40" s="48">
        <f>SUM(F19, F31, F38)</f>
        <v/>
      </c>
      <c r="G40" s="49">
        <f>SUM(G19, G31, G38)</f>
        <v/>
      </c>
      <c r="H40" s="50">
        <f>SUM(H19, H31, H38)</f>
        <v/>
      </c>
      <c r="I40" s="51">
        <f>SUM(I19, I31, I38)</f>
        <v/>
      </c>
      <c r="J40" s="47" t="n"/>
      <c r="K40" s="47" t="n"/>
    </row>
    <row r="43">
      <c r="B43" s="52" t="inlineStr">
        <is>
          <t>Conducted By (Barista Signature): ____________________</t>
        </is>
      </c>
      <c r="F43" s="52" t="inlineStr">
        <is>
          <t>Audited &amp; Accepted By (Manager Signature): ____________________</t>
        </is>
      </c>
    </row>
    <row r="44">
      <c r="B44" s="53" t="inlineStr">
        <is>
          <t>Time Completed: ____________________</t>
        </is>
      </c>
      <c r="F44" s="53" t="inlineStr">
        <is>
          <t>Date Approved: ____________________</t>
        </is>
      </c>
    </row>
  </sheetData>
  <mergeCells count="15">
    <mergeCell ref="A4:B4"/>
    <mergeCell ref="E4:F4"/>
    <mergeCell ref="I4:J4"/>
    <mergeCell ref="A19:C19"/>
    <mergeCell ref="A21:K21"/>
    <mergeCell ref="A31:C31"/>
    <mergeCell ref="A5:B5"/>
    <mergeCell ref="A2:K2"/>
    <mergeCell ref="E5:F5"/>
    <mergeCell ref="A33:K33"/>
    <mergeCell ref="I5:J5"/>
    <mergeCell ref="A40:C40"/>
    <mergeCell ref="A1:K1"/>
    <mergeCell ref="A38:C38"/>
    <mergeCell ref="A8:K8"/>
  </mergeCells>
  <conditionalFormatting sqref="G9:H37">
    <cfRule type="cellIs" priority="1" operator="lessThan" dxfId="0" stopIfTrue="1">
      <formula>0</formula>
    </cfRule>
    <cfRule type="cellIs" priority="2" operator="greaterThanOrEqual" dxfId="1" stopIfTrue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5" customWidth="1" min="4" max="4"/>
    <col width="15" customWidth="1" min="5" max="5"/>
    <col width="21" customWidth="1" min="6" max="6"/>
    <col width="16" customWidth="1" min="7" max="7"/>
    <col width="18" customWidth="1" min="8" max="8"/>
    <col width="20" customWidth="1" min="9" max="9"/>
    <col width="16" customWidth="1" min="10" max="10"/>
    <col width="32" customWidth="1" min="11" max="11"/>
  </cols>
  <sheetData>
    <row r="1" ht="28" customHeight="1">
      <c r="A1" s="1" t="inlineStr">
        <is>
          <t>☕ ESPRESSO YOURSELF &amp; TEA HOUSE — PHYSICAL INVENTORY AUDIT</t>
        </is>
      </c>
    </row>
    <row r="2" ht="18" customHeight="1">
      <c r="A2" s="2" t="inlineStr">
        <is>
          <t>Branch: Cebu City (#30)  |  Audit Section: Bar Tools, Equipment &amp; Cleaning  |  Generated for Today's Stock Count</t>
        </is>
      </c>
    </row>
    <row r="4" ht="22" customHeight="1">
      <c r="A4" s="3" t="inlineStr">
        <is>
          <t>AUDIT DATE:</t>
        </is>
      </c>
      <c r="C4" s="4" t="inlineStr">
        <is>
          <t>September 15, 2026</t>
        </is>
      </c>
      <c r="E4" s="3" t="inlineStr">
        <is>
          <t>COUNTED BY (BARISTA):</t>
        </is>
      </c>
      <c r="G4" s="4" t="inlineStr">
        <is>
          <t>________________________</t>
        </is>
      </c>
      <c r="I4" s="3" t="inlineStr">
        <is>
          <t>STATUS:</t>
        </is>
      </c>
      <c r="K4" s="4" t="inlineStr">
        <is>
          <t>READY FOR COUNT</t>
        </is>
      </c>
    </row>
    <row r="5" ht="22" customHeight="1">
      <c r="A5" s="3" t="inlineStr">
        <is>
          <t>STORE SHIFT:</t>
        </is>
      </c>
      <c r="C5" s="4" t="inlineStr">
        <is>
          <t>All-Day / Closing Audit</t>
        </is>
      </c>
      <c r="E5" s="3" t="inlineStr">
        <is>
          <t>VERIFIED BY (SUPERVISOR):</t>
        </is>
      </c>
      <c r="G5" s="4" t="inlineStr">
        <is>
          <t>________________________</t>
        </is>
      </c>
      <c r="I5" s="3" t="inlineStr">
        <is>
          <t>DISCREPANCY ACTION:</t>
        </is>
      </c>
      <c r="K5" s="4" t="inlineStr">
        <is>
          <t>Requires Manager Sign-off</t>
        </is>
      </c>
    </row>
    <row r="7" ht="28" customHeight="1">
      <c r="A7" s="5" t="inlineStr">
        <is>
          <t>SKU / CODE</t>
        </is>
      </c>
      <c r="B7" s="5" t="inlineStr">
        <is>
          <t>ITEM DESCRIPTION &amp; SPECS</t>
        </is>
      </c>
      <c r="C7" s="5" t="inlineStr">
        <is>
          <t>UOM</t>
        </is>
      </c>
      <c r="D7" s="5" t="inlineStr">
        <is>
          <t>UNIT COST (₱)</t>
        </is>
      </c>
      <c r="E7" s="5" t="inlineStr">
        <is>
          <t>SYSTEM STOCK</t>
        </is>
      </c>
      <c r="F7" s="6" t="inlineStr">
        <is>
          <t>★ PHYSICAL COUNT ★</t>
        </is>
      </c>
      <c r="G7" s="5" t="inlineStr">
        <is>
          <t>VARIANCE (QTY)</t>
        </is>
      </c>
      <c r="H7" s="5" t="inlineStr">
        <is>
          <t>VARIANCE VALUE (₱)</t>
        </is>
      </c>
      <c r="I7" s="5" t="inlineStr">
        <is>
          <t>TOTAL COUNT VALUE (₱)</t>
        </is>
      </c>
      <c r="J7" s="5" t="inlineStr">
        <is>
          <t>AUDIT STATUS</t>
        </is>
      </c>
      <c r="K7" s="5" t="inlineStr">
        <is>
          <t>BARISTA REMARKS / EXPIRY</t>
        </is>
      </c>
    </row>
    <row r="8" ht="24" customHeight="1">
      <c r="A8" s="43" t="inlineStr">
        <is>
          <t xml:space="preserve">  🥄  10. BAR TOOLS, UTENSILS &amp; SMALLWARES</t>
        </is>
      </c>
    </row>
    <row r="9" ht="21" customHeight="1">
      <c r="A9" s="8" t="inlineStr">
        <is>
          <t>TOO-001</t>
        </is>
      </c>
      <c r="B9" s="9" t="inlineStr">
        <is>
          <t>Steaming Pitcher Matte Black 600ml</t>
        </is>
      </c>
      <c r="C9" s="10" t="inlineStr">
        <is>
          <t>Piece</t>
        </is>
      </c>
      <c r="D9" s="11" t="n">
        <v>2180</v>
      </c>
      <c r="E9" s="12" t="n">
        <v>1</v>
      </c>
      <c r="F9" s="13" t="n"/>
      <c r="G9" s="14">
        <f>IF(ISBLANK(F9), "", F9 - E9)</f>
        <v/>
      </c>
      <c r="H9" s="15">
        <f>IF(ISBLANK(F9), "", G9 * D9)</f>
        <v/>
      </c>
      <c r="I9" s="16">
        <f>IF(ISBLANK(F9), "", F9 * D9)</f>
        <v/>
      </c>
      <c r="J9" s="17">
        <f>IF(ISBLANK(F9), "⏳ Pending", IF(G9=0, "✅ Match", IF(G9&lt;0, "⚠️ Shortage", "🔺 Surplus")))</f>
        <v/>
      </c>
      <c r="K9" s="18" t="inlineStr">
        <is>
          <t>Espresso milk frothing</t>
        </is>
      </c>
    </row>
    <row r="10" ht="21" customHeight="1">
      <c r="A10" s="19" t="inlineStr">
        <is>
          <t>TOO-002</t>
        </is>
      </c>
      <c r="B10" s="20" t="inlineStr">
        <is>
          <t>Acrylic Measuring Jigger 10ml / 20ml</t>
        </is>
      </c>
      <c r="C10" s="21" t="inlineStr">
        <is>
          <t>Piece</t>
        </is>
      </c>
      <c r="D10" s="22" t="n">
        <v>60</v>
      </c>
      <c r="E10" s="23" t="n">
        <v>2</v>
      </c>
      <c r="F10" s="13" t="n"/>
      <c r="G10" s="24">
        <f>IF(ISBLANK(F10), "", F10 - E10)</f>
        <v/>
      </c>
      <c r="H10" s="25">
        <f>IF(ISBLANK(F10), "", G10 * D10)</f>
        <v/>
      </c>
      <c r="I10" s="26">
        <f>IF(ISBLANK(F10), "", F10 * D10)</f>
        <v/>
      </c>
      <c r="J10" s="27">
        <f>IF(ISBLANK(F10), "⏳ Pending", IF(G10=0, "✅ Match", IF(G10&lt;0, "⚠️ Shortage", "🔺 Surplus")))</f>
        <v/>
      </c>
      <c r="K10" s="28" t="inlineStr">
        <is>
          <t>Syrup &amp; flavor measurement</t>
        </is>
      </c>
    </row>
    <row r="11" ht="21" customHeight="1">
      <c r="A11" s="8" t="inlineStr">
        <is>
          <t>TOO-003</t>
        </is>
      </c>
      <c r="B11" s="9" t="inlineStr">
        <is>
          <t>Bar Spoon Glossy Stainless</t>
        </is>
      </c>
      <c r="C11" s="10" t="inlineStr">
        <is>
          <t>Piece</t>
        </is>
      </c>
      <c r="D11" s="11" t="n">
        <v>110</v>
      </c>
      <c r="E11" s="12" t="n">
        <v>1</v>
      </c>
      <c r="F11" s="13" t="n"/>
      <c r="G11" s="14">
        <f>IF(ISBLANK(F11), "", F11 - E11)</f>
        <v/>
      </c>
      <c r="H11" s="15">
        <f>IF(ISBLANK(F11), "", G11 * D11)</f>
        <v/>
      </c>
      <c r="I11" s="16">
        <f>IF(ISBLANK(F11), "", F11 * D11)</f>
        <v/>
      </c>
      <c r="J11" s="17">
        <f>IF(ISBLANK(F11), "⏳ Pending", IF(G11=0, "✅ Match", IF(G11&lt;0, "⚠️ Shortage", "🔺 Surplus")))</f>
        <v/>
      </c>
      <c r="K11" s="18" t="inlineStr">
        <is>
          <t>Long spiral bar stirring spoon</t>
        </is>
      </c>
    </row>
    <row r="12" ht="21" customHeight="1">
      <c r="A12" s="19" t="inlineStr">
        <is>
          <t>TOO-004</t>
        </is>
      </c>
      <c r="B12" s="20" t="inlineStr">
        <is>
          <t>Heavy Duty Silicone Bar Mat</t>
        </is>
      </c>
      <c r="C12" s="21" t="inlineStr">
        <is>
          <t>Piece</t>
        </is>
      </c>
      <c r="D12" s="22" t="n">
        <v>320</v>
      </c>
      <c r="E12" s="23" t="n">
        <v>1</v>
      </c>
      <c r="F12" s="13" t="n"/>
      <c r="G12" s="24">
        <f>IF(ISBLANK(F12), "", F12 - E12)</f>
        <v/>
      </c>
      <c r="H12" s="25">
        <f>IF(ISBLANK(F12), "", G12 * D12)</f>
        <v/>
      </c>
      <c r="I12" s="26">
        <f>IF(ISBLANK(F12), "", F12 * D12)</f>
        <v/>
      </c>
      <c r="J12" s="27">
        <f>IF(ISBLANK(F12), "⏳ Pending", IF(G12=0, "✅ Match", IF(G12&lt;0, "⚠️ Shortage", "🔺 Surplus")))</f>
        <v/>
      </c>
      <c r="K12" s="28" t="inlineStr">
        <is>
          <t>Counter drip station</t>
        </is>
      </c>
    </row>
    <row r="13" ht="21" customHeight="1">
      <c r="A13" s="8" t="inlineStr">
        <is>
          <t>TOO-005</t>
        </is>
      </c>
      <c r="B13" s="9" t="inlineStr">
        <is>
          <t>Stainless Cocktail Shaker 1L</t>
        </is>
      </c>
      <c r="C13" s="10" t="inlineStr">
        <is>
          <t>Piece</t>
        </is>
      </c>
      <c r="D13" s="11" t="n">
        <v>250</v>
      </c>
      <c r="E13" s="12" t="n">
        <v>1</v>
      </c>
      <c r="F13" s="13" t="n"/>
      <c r="G13" s="14">
        <f>IF(ISBLANK(F13), "", F13 - E13)</f>
        <v/>
      </c>
      <c r="H13" s="15">
        <f>IF(ISBLANK(F13), "", G13 * D13)</f>
        <v/>
      </c>
      <c r="I13" s="16">
        <f>IF(ISBLANK(F13), "", F13 * D13)</f>
        <v/>
      </c>
      <c r="J13" s="17">
        <f>IF(ISBLANK(F13), "⏳ Pending", IF(G13=0, "✅ Match", IF(G13&lt;0, "⚠️ Shortage", "🔺 Surplus")))</f>
        <v/>
      </c>
      <c r="K13" s="18" t="inlineStr">
        <is>
          <t>Large iced shaken drinks</t>
        </is>
      </c>
    </row>
    <row r="14" ht="21" customHeight="1">
      <c r="A14" s="19" t="inlineStr">
        <is>
          <t>TOO-006</t>
        </is>
      </c>
      <c r="B14" s="20" t="inlineStr">
        <is>
          <t>Stainless Cocktail Shaker 700ml</t>
        </is>
      </c>
      <c r="C14" s="21" t="inlineStr">
        <is>
          <t>Piece</t>
        </is>
      </c>
      <c r="D14" s="22" t="n">
        <v>210</v>
      </c>
      <c r="E14" s="23" t="n">
        <v>1</v>
      </c>
      <c r="F14" s="13" t="n"/>
      <c r="G14" s="24">
        <f>IF(ISBLANK(F14), "", F14 - E14)</f>
        <v/>
      </c>
      <c r="H14" s="25">
        <f>IF(ISBLANK(F14), "", G14 * D14)</f>
        <v/>
      </c>
      <c r="I14" s="26">
        <f>IF(ISBLANK(F14), "", F14 * D14)</f>
        <v/>
      </c>
      <c r="J14" s="27">
        <f>IF(ISBLANK(F14), "⏳ Pending", IF(G14=0, "✅ Match", IF(G14&lt;0, "⚠️ Shortage", "🔺 Surplus")))</f>
        <v/>
      </c>
      <c r="K14" s="28" t="inlineStr">
        <is>
          <t>Medium iced shaken drinks</t>
        </is>
      </c>
    </row>
    <row r="15" ht="21" customHeight="1">
      <c r="A15" s="8" t="inlineStr">
        <is>
          <t>TOO-007</t>
        </is>
      </c>
      <c r="B15" s="9" t="inlineStr">
        <is>
          <t>White Sauce Squeeze Bottles</t>
        </is>
      </c>
      <c r="C15" s="10" t="inlineStr">
        <is>
          <t>Piece</t>
        </is>
      </c>
      <c r="D15" s="11" t="n">
        <v>40</v>
      </c>
      <c r="E15" s="12" t="n">
        <v>4</v>
      </c>
      <c r="F15" s="13" t="n"/>
      <c r="G15" s="14">
        <f>IF(ISBLANK(F15), "", F15 - E15)</f>
        <v/>
      </c>
      <c r="H15" s="15">
        <f>IF(ISBLANK(F15), "", G15 * D15)</f>
        <v/>
      </c>
      <c r="I15" s="16">
        <f>IF(ISBLANK(F15), "", F15 * D15)</f>
        <v/>
      </c>
      <c r="J15" s="17">
        <f>IF(ISBLANK(F15), "⏳ Pending", IF(G15=0, "✅ Match", IF(G15&lt;0, "⚠️ Shortage", "🔺 Surplus")))</f>
        <v/>
      </c>
      <c r="K15" s="18" t="inlineStr">
        <is>
          <t>Fudge &amp; sauce squeeze dispensers</t>
        </is>
      </c>
    </row>
    <row r="16" ht="21" customHeight="1">
      <c r="A16" s="19" t="inlineStr">
        <is>
          <t>TOO-008</t>
        </is>
      </c>
      <c r="B16" s="20" t="inlineStr">
        <is>
          <t>Fliptop Wide Storage Containers 1.8L</t>
        </is>
      </c>
      <c r="C16" s="21" t="inlineStr">
        <is>
          <t>Piece</t>
        </is>
      </c>
      <c r="D16" s="22" t="n">
        <v>84</v>
      </c>
      <c r="E16" s="23" t="n">
        <v>6</v>
      </c>
      <c r="F16" s="13" t="n"/>
      <c r="G16" s="24">
        <f>IF(ISBLANK(F16), "", F16 - E16)</f>
        <v/>
      </c>
      <c r="H16" s="25">
        <f>IF(ISBLANK(F16), "", G16 * D16)</f>
        <v/>
      </c>
      <c r="I16" s="26">
        <f>IF(ISBLANK(F16), "", F16 * D16)</f>
        <v/>
      </c>
      <c r="J16" s="27">
        <f>IF(ISBLANK(F16), "⏳ Pending", IF(G16=0, "✅ Match", IF(G16&lt;0, "⚠️ Shortage", "🔺 Surplus")))</f>
        <v/>
      </c>
      <c r="K16" s="28" t="inlineStr">
        <is>
          <t>Powders &amp; topping canisters</t>
        </is>
      </c>
    </row>
    <row r="17" ht="21" customHeight="1">
      <c r="A17" s="8" t="inlineStr">
        <is>
          <t>TOO-009</t>
        </is>
      </c>
      <c r="B17" s="9" t="inlineStr">
        <is>
          <t>Stackable Food Keeper Square Small</t>
        </is>
      </c>
      <c r="C17" s="10" t="inlineStr">
        <is>
          <t>Piece</t>
        </is>
      </c>
      <c r="D17" s="11" t="n">
        <v>50</v>
      </c>
      <c r="E17" s="12" t="n">
        <v>1</v>
      </c>
      <c r="F17" s="13" t="n"/>
      <c r="G17" s="14">
        <f>IF(ISBLANK(F17), "", F17 - E17)</f>
        <v/>
      </c>
      <c r="H17" s="15">
        <f>IF(ISBLANK(F17), "", G17 * D17)</f>
        <v/>
      </c>
      <c r="I17" s="16">
        <f>IF(ISBLANK(F17), "", F17 * D17)</f>
        <v/>
      </c>
      <c r="J17" s="17">
        <f>IF(ISBLANK(F17), "⏳ Pending", IF(G17=0, "✅ Match", IF(G17&lt;0, "⚠️ Shortage", "🔺 Surplus")))</f>
        <v/>
      </c>
      <c r="K17" s="18" t="inlineStr">
        <is>
          <t>Small ingredient storage</t>
        </is>
      </c>
    </row>
    <row r="18" ht="21" customHeight="1">
      <c r="A18" s="19" t="inlineStr">
        <is>
          <t>TOO-010</t>
        </is>
      </c>
      <c r="B18" s="20" t="inlineStr">
        <is>
          <t>Stainless Mixing Bowl</t>
        </is>
      </c>
      <c r="C18" s="21" t="inlineStr">
        <is>
          <t>Piece</t>
        </is>
      </c>
      <c r="D18" s="22" t="n">
        <v>260</v>
      </c>
      <c r="E18" s="23" t="n">
        <v>1</v>
      </c>
      <c r="F18" s="13" t="n"/>
      <c r="G18" s="24">
        <f>IF(ISBLANK(F18), "", F18 - E18)</f>
        <v/>
      </c>
      <c r="H18" s="25">
        <f>IF(ISBLANK(F18), "", G18 * D18)</f>
        <v/>
      </c>
      <c r="I18" s="26">
        <f>IF(ISBLANK(F18), "", F18 * D18)</f>
        <v/>
      </c>
      <c r="J18" s="27">
        <f>IF(ISBLANK(F18), "⏳ Pending", IF(G18=0, "✅ Match", IF(G18&lt;0, "⚠️ Shortage", "🔺 Surplus")))</f>
        <v/>
      </c>
      <c r="K18" s="28" t="inlineStr">
        <is>
          <t>Whipping &amp; cream mixing</t>
        </is>
      </c>
    </row>
    <row r="19" ht="21" customHeight="1">
      <c r="A19" s="8" t="inlineStr">
        <is>
          <t>TOO-011</t>
        </is>
      </c>
      <c r="B19" s="9" t="inlineStr">
        <is>
          <t>Ceramic Matcha Bowl / Chawan</t>
        </is>
      </c>
      <c r="C19" s="10" t="inlineStr">
        <is>
          <t>Piece</t>
        </is>
      </c>
      <c r="D19" s="11" t="n">
        <v>90</v>
      </c>
      <c r="E19" s="12" t="n">
        <v>1</v>
      </c>
      <c r="F19" s="13" t="n"/>
      <c r="G19" s="14">
        <f>IF(ISBLANK(F19), "", F19 - E19)</f>
        <v/>
      </c>
      <c r="H19" s="15">
        <f>IF(ISBLANK(F19), "", G19 * D19)</f>
        <v/>
      </c>
      <c r="I19" s="16">
        <f>IF(ISBLANK(F19), "", F19 * D19)</f>
        <v/>
      </c>
      <c r="J19" s="17">
        <f>IF(ISBLANK(F19), "⏳ Pending", IF(G19=0, "✅ Match", IF(G19&lt;0, "⚠️ Shortage", "🔺 Surplus")))</f>
        <v/>
      </c>
      <c r="K19" s="18" t="inlineStr">
        <is>
          <t>Matcha whisking bowl</t>
        </is>
      </c>
    </row>
    <row r="20" ht="21" customHeight="1">
      <c r="A20" s="19" t="inlineStr">
        <is>
          <t>TOO-012</t>
        </is>
      </c>
      <c r="B20" s="20" t="inlineStr">
        <is>
          <t>Espresso Shot Glass (Double Spout)</t>
        </is>
      </c>
      <c r="C20" s="21" t="inlineStr">
        <is>
          <t>Piece</t>
        </is>
      </c>
      <c r="D20" s="22" t="n">
        <v>22</v>
      </c>
      <c r="E20" s="23" t="n">
        <v>1</v>
      </c>
      <c r="F20" s="13" t="n"/>
      <c r="G20" s="24">
        <f>IF(ISBLANK(F20), "", F20 - E20)</f>
        <v/>
      </c>
      <c r="H20" s="25">
        <f>IF(ISBLANK(F20), "", G20 * D20)</f>
        <v/>
      </c>
      <c r="I20" s="26">
        <f>IF(ISBLANK(F20), "", F20 * D20)</f>
        <v/>
      </c>
      <c r="J20" s="27">
        <f>IF(ISBLANK(F20), "⏳ Pending", IF(G20=0, "✅ Match", IF(G20&lt;0, "⚠️ Shortage", "🔺 Surplus")))</f>
        <v/>
      </c>
      <c r="K20" s="28" t="inlineStr">
        <is>
          <t>Espresso calibration shot glass</t>
        </is>
      </c>
    </row>
    <row r="21" ht="21" customHeight="1">
      <c r="A21" s="8" t="inlineStr">
        <is>
          <t>TOO-013</t>
        </is>
      </c>
      <c r="B21" s="9" t="inlineStr">
        <is>
          <t>Chef Kitchen Knife Stainless</t>
        </is>
      </c>
      <c r="C21" s="10" t="inlineStr">
        <is>
          <t>Piece</t>
        </is>
      </c>
      <c r="D21" s="11" t="n">
        <v>192</v>
      </c>
      <c r="E21" s="12" t="n">
        <v>1</v>
      </c>
      <c r="F21" s="13" t="n"/>
      <c r="G21" s="14">
        <f>IF(ISBLANK(F21), "", F21 - E21)</f>
        <v/>
      </c>
      <c r="H21" s="15">
        <f>IF(ISBLANK(F21), "", G21 * D21)</f>
        <v/>
      </c>
      <c r="I21" s="16">
        <f>IF(ISBLANK(F21), "", F21 * D21)</f>
        <v/>
      </c>
      <c r="J21" s="17">
        <f>IF(ISBLANK(F21), "⏳ Pending", IF(G21=0, "✅ Match", IF(G21&lt;0, "⚠️ Shortage", "🔺 Surplus")))</f>
        <v/>
      </c>
      <c r="K21" s="18" t="inlineStr">
        <is>
          <t>Fruit slicing &amp; pastry cutting</t>
        </is>
      </c>
    </row>
    <row r="22" ht="21" customHeight="1">
      <c r="A22" s="19" t="inlineStr">
        <is>
          <t>TOO-014</t>
        </is>
      </c>
      <c r="B22" s="20" t="inlineStr">
        <is>
          <t>Heavy Duty Cutting Board</t>
        </is>
      </c>
      <c r="C22" s="21" t="inlineStr">
        <is>
          <t>Piece</t>
        </is>
      </c>
      <c r="D22" s="22" t="n">
        <v>130</v>
      </c>
      <c r="E22" s="23" t="n">
        <v>1</v>
      </c>
      <c r="F22" s="13" t="n"/>
      <c r="G22" s="24">
        <f>IF(ISBLANK(F22), "", F22 - E22)</f>
        <v/>
      </c>
      <c r="H22" s="25">
        <f>IF(ISBLANK(F22), "", G22 * D22)</f>
        <v/>
      </c>
      <c r="I22" s="26">
        <f>IF(ISBLANK(F22), "", F22 * D22)</f>
        <v/>
      </c>
      <c r="J22" s="27">
        <f>IF(ISBLANK(F22), "⏳ Pending", IF(G22=0, "✅ Match", IF(G22&lt;0, "⚠️ Shortage", "🔺 Surplus")))</f>
        <v/>
      </c>
      <c r="K22" s="28" t="inlineStr">
        <is>
          <t>Food safe chopping board</t>
        </is>
      </c>
    </row>
    <row r="23" ht="21" customHeight="1">
      <c r="A23" s="8" t="inlineStr">
        <is>
          <t>TOO-015</t>
        </is>
      </c>
      <c r="B23" s="9" t="inlineStr">
        <is>
          <t>Can Opener Heavy Duty</t>
        </is>
      </c>
      <c r="C23" s="10" t="inlineStr">
        <is>
          <t>Piece</t>
        </is>
      </c>
      <c r="D23" s="11" t="n">
        <v>129</v>
      </c>
      <c r="E23" s="12" t="n">
        <v>1</v>
      </c>
      <c r="F23" s="13" t="n"/>
      <c r="G23" s="14">
        <f>IF(ISBLANK(F23), "", F23 - E23)</f>
        <v/>
      </c>
      <c r="H23" s="15">
        <f>IF(ISBLANK(F23), "", G23 * D23)</f>
        <v/>
      </c>
      <c r="I23" s="16">
        <f>IF(ISBLANK(F23), "", F23 * D23)</f>
        <v/>
      </c>
      <c r="J23" s="17">
        <f>IF(ISBLANK(F23), "⏳ Pending", IF(G23=0, "✅ Match", IF(G23&lt;0, "⚠️ Shortage", "🔺 Surplus")))</f>
        <v/>
      </c>
      <c r="K23" s="18" t="inlineStr">
        <is>
          <t>Milk &amp; can opener</t>
        </is>
      </c>
    </row>
    <row r="24" ht="21" customHeight="1">
      <c r="A24" s="19" t="inlineStr">
        <is>
          <t>TOO-016</t>
        </is>
      </c>
      <c r="B24" s="20" t="inlineStr">
        <is>
          <t>Utility Kitchen Scissors</t>
        </is>
      </c>
      <c r="C24" s="21" t="inlineStr">
        <is>
          <t>Piece</t>
        </is>
      </c>
      <c r="D24" s="22" t="n">
        <v>119</v>
      </c>
      <c r="E24" s="23" t="n">
        <v>1</v>
      </c>
      <c r="F24" s="13" t="n"/>
      <c r="G24" s="24">
        <f>IF(ISBLANK(F24), "", F24 - E24)</f>
        <v/>
      </c>
      <c r="H24" s="25">
        <f>IF(ISBLANK(F24), "", G24 * D24)</f>
        <v/>
      </c>
      <c r="I24" s="26">
        <f>IF(ISBLANK(F24), "", F24 * D24)</f>
        <v/>
      </c>
      <c r="J24" s="27">
        <f>IF(ISBLANK(F24), "⏳ Pending", IF(G24=0, "✅ Match", IF(G24&lt;0, "⚠️ Shortage", "🔺 Surplus")))</f>
        <v/>
      </c>
      <c r="K24" s="28" t="inlineStr">
        <is>
          <t>Pack opening &amp; prep</t>
        </is>
      </c>
    </row>
    <row r="25" ht="21" customHeight="1">
      <c r="A25" s="8" t="inlineStr">
        <is>
          <t>TOO-017</t>
        </is>
      </c>
      <c r="B25" s="9" t="inlineStr">
        <is>
          <t>Non-Slip Serving Trays</t>
        </is>
      </c>
      <c r="C25" s="10" t="inlineStr">
        <is>
          <t>Pack (2s)</t>
        </is>
      </c>
      <c r="D25" s="11" t="n">
        <v>156</v>
      </c>
      <c r="E25" s="12" t="n">
        <v>2</v>
      </c>
      <c r="F25" s="13" t="n"/>
      <c r="G25" s="14">
        <f>IF(ISBLANK(F25), "", F25 - E25)</f>
        <v/>
      </c>
      <c r="H25" s="15">
        <f>IF(ISBLANK(F25), "", G25 * D25)</f>
        <v/>
      </c>
      <c r="I25" s="16">
        <f>IF(ISBLANK(F25), "", F25 * D25)</f>
        <v/>
      </c>
      <c r="J25" s="17">
        <f>IF(ISBLANK(F25), "⏳ Pending", IF(G25=0, "✅ Match", IF(G25&lt;0, "⚠️ Shortage", "🔺 Surplus")))</f>
        <v/>
      </c>
      <c r="K25" s="18" t="inlineStr">
        <is>
          <t>Dine-in tray service</t>
        </is>
      </c>
    </row>
    <row r="26" ht="21" customHeight="1">
      <c r="A26" s="19" t="inlineStr">
        <is>
          <t>TOO-018</t>
        </is>
      </c>
      <c r="B26" s="20" t="inlineStr">
        <is>
          <t>Condiment Organizer 4-Compartment</t>
        </is>
      </c>
      <c r="C26" s="21" t="inlineStr">
        <is>
          <t>Piece</t>
        </is>
      </c>
      <c r="D26" s="22" t="n">
        <v>420</v>
      </c>
      <c r="E26" s="23" t="n">
        <v>1</v>
      </c>
      <c r="F26" s="13" t="n"/>
      <c r="G26" s="24">
        <f>IF(ISBLANK(F26), "", F26 - E26)</f>
        <v/>
      </c>
      <c r="H26" s="25">
        <f>IF(ISBLANK(F26), "", G26 * D26)</f>
        <v/>
      </c>
      <c r="I26" s="26">
        <f>IF(ISBLANK(F26), "", F26 * D26)</f>
        <v/>
      </c>
      <c r="J26" s="27">
        <f>IF(ISBLANK(F26), "⏳ Pending", IF(G26=0, "✅ Match", IF(G26&lt;0, "⚠️ Shortage", "🔺 Surplus")))</f>
        <v/>
      </c>
      <c r="K26" s="28" t="inlineStr">
        <is>
          <t>Straw &amp; napkin counter caddy</t>
        </is>
      </c>
    </row>
    <row r="27" ht="21" customHeight="1">
      <c r="A27" s="8" t="inlineStr">
        <is>
          <t>TOO-019</t>
        </is>
      </c>
      <c r="B27" s="9" t="inlineStr">
        <is>
          <t>Cup &amp; Lid Dispenser Holder</t>
        </is>
      </c>
      <c r="C27" s="10" t="inlineStr">
        <is>
          <t>Piece</t>
        </is>
      </c>
      <c r="D27" s="11" t="n">
        <v>498</v>
      </c>
      <c r="E27" s="12" t="n">
        <v>1</v>
      </c>
      <c r="F27" s="13" t="n"/>
      <c r="G27" s="14">
        <f>IF(ISBLANK(F27), "", F27 - E27)</f>
        <v/>
      </c>
      <c r="H27" s="15">
        <f>IF(ISBLANK(F27), "", G27 * D27)</f>
        <v/>
      </c>
      <c r="I27" s="16">
        <f>IF(ISBLANK(F27), "", F27 * D27)</f>
        <v/>
      </c>
      <c r="J27" s="17">
        <f>IF(ISBLANK(F27), "⏳ Pending", IF(G27=0, "✅ Match", IF(G27&lt;0, "⚠️ Shortage", "🔺 Surplus")))</f>
        <v/>
      </c>
      <c r="K27" s="18" t="inlineStr">
        <is>
          <t>Countertop cup carousel</t>
        </is>
      </c>
    </row>
    <row r="28" ht="22" customHeight="1">
      <c r="A28" s="29" t="inlineStr">
        <is>
          <t>Subtotal — Bar Tools, Utensils &amp; Smallwares:</t>
        </is>
      </c>
      <c r="B28" s="30" t="n"/>
      <c r="C28" s="30" t="n"/>
      <c r="D28" s="30" t="inlineStr"/>
      <c r="E28" s="31">
        <f>SUM(E9:E27)</f>
        <v/>
      </c>
      <c r="F28" s="31">
        <f>SUM(F9:F27)</f>
        <v/>
      </c>
      <c r="G28" s="32">
        <f>SUM(G9:G27)</f>
        <v/>
      </c>
      <c r="H28" s="33">
        <f>SUM(H9:H27)</f>
        <v/>
      </c>
      <c r="I28" s="34">
        <f>SUM(I9:I27)</f>
        <v/>
      </c>
      <c r="J28" s="30" t="inlineStr"/>
      <c r="K28" s="30" t="inlineStr"/>
    </row>
    <row r="30" ht="24" customHeight="1">
      <c r="A30" s="44" t="inlineStr">
        <is>
          <t xml:space="preserve">  ⚙️  11. EQUIPMENT &amp; STORE FIXTURES</t>
        </is>
      </c>
    </row>
    <row r="31" ht="21" customHeight="1">
      <c r="A31" s="8" t="inlineStr">
        <is>
          <t>EQP-001</t>
        </is>
      </c>
      <c r="B31" s="9" t="inlineStr">
        <is>
          <t>Electric Hand Mixer (High Power)</t>
        </is>
      </c>
      <c r="C31" s="10" t="inlineStr">
        <is>
          <t>Piece</t>
        </is>
      </c>
      <c r="D31" s="11" t="n">
        <v>1510</v>
      </c>
      <c r="E31" s="12" t="n">
        <v>1</v>
      </c>
      <c r="F31" s="13" t="n"/>
      <c r="G31" s="14">
        <f>IF(ISBLANK(F31), "", F31 - E31)</f>
        <v/>
      </c>
      <c r="H31" s="15">
        <f>IF(ISBLANK(F31), "", G31 * D31)</f>
        <v/>
      </c>
      <c r="I31" s="16">
        <f>IF(ISBLANK(F31), "", F31 * D31)</f>
        <v/>
      </c>
      <c r="J31" s="17">
        <f>IF(ISBLANK(F31), "⏳ Pending", IF(G31=0, "✅ Match", IF(G31&lt;0, "⚠️ Shortage", "🔺 Surplus")))</f>
        <v/>
      </c>
      <c r="K31" s="18" t="inlineStr">
        <is>
          <t>Cheese foam / whipping</t>
        </is>
      </c>
    </row>
    <row r="32" ht="21" customHeight="1">
      <c r="A32" s="19" t="inlineStr">
        <is>
          <t>EQP-002</t>
        </is>
      </c>
      <c r="B32" s="20" t="inlineStr">
        <is>
          <t>AWD DO3 Handheld Drink Frother</t>
        </is>
      </c>
      <c r="C32" s="21" t="inlineStr">
        <is>
          <t>Piece</t>
        </is>
      </c>
      <c r="D32" s="22" t="n">
        <v>310</v>
      </c>
      <c r="E32" s="23" t="n">
        <v>1</v>
      </c>
      <c r="F32" s="13" t="n"/>
      <c r="G32" s="24">
        <f>IF(ISBLANK(F32), "", F32 - E32)</f>
        <v/>
      </c>
      <c r="H32" s="25">
        <f>IF(ISBLANK(F32), "", G32 * D32)</f>
        <v/>
      </c>
      <c r="I32" s="26">
        <f>IF(ISBLANK(F32), "", F32 * D32)</f>
        <v/>
      </c>
      <c r="J32" s="27">
        <f>IF(ISBLANK(F32), "⏳ Pending", IF(G32=0, "✅ Match", IF(G32&lt;0, "⚠️ Shortage", "🔺 Surplus")))</f>
        <v/>
      </c>
      <c r="K32" s="28" t="inlineStr">
        <is>
          <t>Single cup frothing</t>
        </is>
      </c>
    </row>
    <row r="33" ht="21" customHeight="1">
      <c r="A33" s="8" t="inlineStr">
        <is>
          <t>EQP-003</t>
        </is>
      </c>
      <c r="B33" s="9" t="inlineStr">
        <is>
          <t>Commercial Insulated Ice Box Chest</t>
        </is>
      </c>
      <c r="C33" s="10" t="inlineStr">
        <is>
          <t>Piece</t>
        </is>
      </c>
      <c r="D33" s="11" t="n">
        <v>784</v>
      </c>
      <c r="E33" s="12" t="n">
        <v>1</v>
      </c>
      <c r="F33" s="13" t="n"/>
      <c r="G33" s="14">
        <f>IF(ISBLANK(F33), "", F33 - E33)</f>
        <v/>
      </c>
      <c r="H33" s="15">
        <f>IF(ISBLANK(F33), "", G33 * D33)</f>
        <v/>
      </c>
      <c r="I33" s="16">
        <f>IF(ISBLANK(F33), "", F33 * D33)</f>
        <v/>
      </c>
      <c r="J33" s="17">
        <f>IF(ISBLANK(F33), "⏳ Pending", IF(G33=0, "✅ Match", IF(G33&lt;0, "⚠️ Shortage", "🔺 Surplus")))</f>
        <v/>
      </c>
      <c r="K33" s="18" t="inlineStr">
        <is>
          <t>Bar ice storage container</t>
        </is>
      </c>
    </row>
    <row r="34" ht="21" customHeight="1">
      <c r="A34" s="19" t="inlineStr">
        <is>
          <t>EQP-004</t>
        </is>
      </c>
      <c r="B34" s="20" t="inlineStr">
        <is>
          <t>Heavy Duty Steel Cash Box with Lock</t>
        </is>
      </c>
      <c r="C34" s="21" t="inlineStr">
        <is>
          <t>Piece</t>
        </is>
      </c>
      <c r="D34" s="22" t="n">
        <v>530</v>
      </c>
      <c r="E34" s="23" t="n">
        <v>1</v>
      </c>
      <c r="F34" s="13" t="n"/>
      <c r="G34" s="24">
        <f>IF(ISBLANK(F34), "", F34 - E34)</f>
        <v/>
      </c>
      <c r="H34" s="25">
        <f>IF(ISBLANK(F34), "", G34 * D34)</f>
        <v/>
      </c>
      <c r="I34" s="26">
        <f>IF(ISBLANK(F34), "", F34 * D34)</f>
        <v/>
      </c>
      <c r="J34" s="27">
        <f>IF(ISBLANK(F34), "⏳ Pending", IF(G34=0, "✅ Match", IF(G34&lt;0, "⚠️ Shortage", "🔺 Surplus")))</f>
        <v/>
      </c>
      <c r="K34" s="28" t="inlineStr">
        <is>
          <t>POS register petty cash box</t>
        </is>
      </c>
    </row>
    <row r="35" ht="21" customHeight="1">
      <c r="A35" s="8" t="inlineStr">
        <is>
          <t>EQP-005</t>
        </is>
      </c>
      <c r="B35" s="9" t="inlineStr">
        <is>
          <t>Akari Heavy Duty Power Adaptor</t>
        </is>
      </c>
      <c r="C35" s="10" t="inlineStr">
        <is>
          <t>Piece</t>
        </is>
      </c>
      <c r="D35" s="11" t="n">
        <v>69</v>
      </c>
      <c r="E35" s="12" t="n">
        <v>1</v>
      </c>
      <c r="F35" s="13" t="n"/>
      <c r="G35" s="14">
        <f>IF(ISBLANK(F35), "", F35 - E35)</f>
        <v/>
      </c>
      <c r="H35" s="15">
        <f>IF(ISBLANK(F35), "", G35 * D35)</f>
        <v/>
      </c>
      <c r="I35" s="16">
        <f>IF(ISBLANK(F35), "", F35 * D35)</f>
        <v/>
      </c>
      <c r="J35" s="17">
        <f>IF(ISBLANK(F35), "⏳ Pending", IF(G35=0, "✅ Match", IF(G35&lt;0, "⚠️ Shortage", "🔺 Surplus")))</f>
        <v/>
      </c>
      <c r="K35" s="18" t="inlineStr">
        <is>
          <t>Appliance surge plug</t>
        </is>
      </c>
    </row>
    <row r="36" ht="21" customHeight="1">
      <c r="A36" s="19" t="inlineStr">
        <is>
          <t>EQP-006</t>
        </is>
      </c>
      <c r="B36" s="20" t="inlineStr">
        <is>
          <t>Universal Surge Protected Power Strip</t>
        </is>
      </c>
      <c r="C36" s="21" t="inlineStr">
        <is>
          <t>Piece</t>
        </is>
      </c>
      <c r="D36" s="22" t="n">
        <v>298</v>
      </c>
      <c r="E36" s="23" t="n">
        <v>1</v>
      </c>
      <c r="F36" s="13" t="n"/>
      <c r="G36" s="24">
        <f>IF(ISBLANK(F36), "", F36 - E36)</f>
        <v/>
      </c>
      <c r="H36" s="25">
        <f>IF(ISBLANK(F36), "", G36 * D36)</f>
        <v/>
      </c>
      <c r="I36" s="26">
        <f>IF(ISBLANK(F36), "", F36 * D36)</f>
        <v/>
      </c>
      <c r="J36" s="27">
        <f>IF(ISBLANK(F36), "⏳ Pending", IF(G36=0, "✅ Match", IF(G36&lt;0, "⚠️ Shortage", "🔺 Surplus")))</f>
        <v/>
      </c>
      <c r="K36" s="28" t="inlineStr">
        <is>
          <t>POS &amp; equipment power strip</t>
        </is>
      </c>
    </row>
    <row r="37" ht="21" customHeight="1">
      <c r="A37" s="8" t="inlineStr">
        <is>
          <t>EQP-007</t>
        </is>
      </c>
      <c r="B37" s="9" t="inlineStr">
        <is>
          <t>Barista Recipe Manual &amp; Store Record Book</t>
        </is>
      </c>
      <c r="C37" s="10" t="inlineStr">
        <is>
          <t>Piece</t>
        </is>
      </c>
      <c r="D37" s="11" t="n">
        <v>72</v>
      </c>
      <c r="E37" s="12" t="n">
        <v>1</v>
      </c>
      <c r="F37" s="13" t="n"/>
      <c r="G37" s="14">
        <f>IF(ISBLANK(F37), "", F37 - E37)</f>
        <v/>
      </c>
      <c r="H37" s="15">
        <f>IF(ISBLANK(F37), "", G37 * D37)</f>
        <v/>
      </c>
      <c r="I37" s="16">
        <f>IF(ISBLANK(F37), "", F37 * D37)</f>
        <v/>
      </c>
      <c r="J37" s="17">
        <f>IF(ISBLANK(F37), "⏳ Pending", IF(G37=0, "✅ Match", IF(G37&lt;0, "⚠️ Shortage", "🔺 Surplus")))</f>
        <v/>
      </c>
      <c r="K37" s="18" t="inlineStr">
        <is>
          <t>Official store logbook</t>
        </is>
      </c>
    </row>
    <row r="38" ht="21" customHeight="1">
      <c r="A38" s="19" t="inlineStr">
        <is>
          <t>EQP-008</t>
        </is>
      </c>
      <c r="B38" s="20" t="inlineStr">
        <is>
          <t>Commercial Foot-Pedal Trash Can 30L</t>
        </is>
      </c>
      <c r="C38" s="21" t="inlineStr">
        <is>
          <t>Piece</t>
        </is>
      </c>
      <c r="D38" s="22" t="n">
        <v>850</v>
      </c>
      <c r="E38" s="23" t="n">
        <v>1</v>
      </c>
      <c r="F38" s="13" t="n"/>
      <c r="G38" s="24">
        <f>IF(ISBLANK(F38), "", F38 - E38)</f>
        <v/>
      </c>
      <c r="H38" s="25">
        <f>IF(ISBLANK(F38), "", G38 * D38)</f>
        <v/>
      </c>
      <c r="I38" s="26">
        <f>IF(ISBLANK(F38), "", F38 * D38)</f>
        <v/>
      </c>
      <c r="J38" s="27">
        <f>IF(ISBLANK(F38), "⏳ Pending", IF(G38=0, "✅ Match", IF(G38&lt;0, "⚠️ Shortage", "🔺 Surplus")))</f>
        <v/>
      </c>
      <c r="K38" s="28" t="inlineStr">
        <is>
          <t>Sanitary waste disposal</t>
        </is>
      </c>
    </row>
    <row r="39" ht="22" customHeight="1">
      <c r="A39" s="29" t="inlineStr">
        <is>
          <t>Subtotal — Equipment &amp; Store Fixtures:</t>
        </is>
      </c>
      <c r="B39" s="30" t="n"/>
      <c r="C39" s="30" t="n"/>
      <c r="D39" s="30" t="inlineStr"/>
      <c r="E39" s="31">
        <f>SUM(E31:E38)</f>
        <v/>
      </c>
      <c r="F39" s="31">
        <f>SUM(F31:F38)</f>
        <v/>
      </c>
      <c r="G39" s="32">
        <f>SUM(G31:G38)</f>
        <v/>
      </c>
      <c r="H39" s="33">
        <f>SUM(H31:H38)</f>
        <v/>
      </c>
      <c r="I39" s="34">
        <f>SUM(I31:I38)</f>
        <v/>
      </c>
      <c r="J39" s="30" t="inlineStr"/>
      <c r="K39" s="30" t="inlineStr"/>
    </row>
    <row r="41" ht="24" customHeight="1">
      <c r="A41" s="45" t="inlineStr">
        <is>
          <t xml:space="preserve">  🧼  12. CLEANING, HYGIENE &amp; MAINTENANCE</t>
        </is>
      </c>
    </row>
    <row r="42" ht="21" customHeight="1">
      <c r="A42" s="8" t="inlineStr">
        <is>
          <t>CLN-001</t>
        </is>
      </c>
      <c r="B42" s="9" t="inlineStr">
        <is>
          <t>Dr. Coffee Espresso Descaling Powder</t>
        </is>
      </c>
      <c r="C42" s="10" t="inlineStr">
        <is>
          <t>Bot</t>
        </is>
      </c>
      <c r="D42" s="11" t="n">
        <v>1000</v>
      </c>
      <c r="E42" s="12" t="n">
        <v>1</v>
      </c>
      <c r="F42" s="13" t="n"/>
      <c r="G42" s="14">
        <f>IF(ISBLANK(F42), "", F42 - E42)</f>
        <v/>
      </c>
      <c r="H42" s="15">
        <f>IF(ISBLANK(F42), "", G42 * D42)</f>
        <v/>
      </c>
      <c r="I42" s="16">
        <f>IF(ISBLANK(F42), "", F42 * D42)</f>
        <v/>
      </c>
      <c r="J42" s="17">
        <f>IF(ISBLANK(F42), "⏳ Pending", IF(G42=0, "✅ Match", IF(G42&lt;0, "⚠️ Shortage", "🔺 Surplus")))</f>
        <v/>
      </c>
      <c r="K42" s="18" t="inlineStr">
        <is>
          <t>Espresso boiler descaling</t>
        </is>
      </c>
    </row>
    <row r="43" ht="21" customHeight="1">
      <c r="A43" s="19" t="inlineStr">
        <is>
          <t>CLN-002</t>
        </is>
      </c>
      <c r="B43" s="20" t="inlineStr">
        <is>
          <t>Dr. Coffee Milk Line Deep Clean Solution</t>
        </is>
      </c>
      <c r="C43" s="21" t="inlineStr">
        <is>
          <t>Bot</t>
        </is>
      </c>
      <c r="D43" s="22" t="n">
        <v>2800</v>
      </c>
      <c r="E43" s="23" t="n">
        <v>1</v>
      </c>
      <c r="F43" s="13" t="n"/>
      <c r="G43" s="24">
        <f>IF(ISBLANK(F43), "", F43 - E43)</f>
        <v/>
      </c>
      <c r="H43" s="25">
        <f>IF(ISBLANK(F43), "", G43 * D43)</f>
        <v/>
      </c>
      <c r="I43" s="26">
        <f>IF(ISBLANK(F43), "", F43 * D43)</f>
        <v/>
      </c>
      <c r="J43" s="27">
        <f>IF(ISBLANK(F43), "⏳ Pending", IF(G43=0, "✅ Match", IF(G43&lt;0, "⚠️ Shortage", "🔺 Surplus")))</f>
        <v/>
      </c>
      <c r="K43" s="28" t="inlineStr">
        <is>
          <t>Steam wand &amp; pipe sanitizer</t>
        </is>
      </c>
    </row>
    <row r="44" ht="21" customHeight="1">
      <c r="A44" s="8" t="inlineStr">
        <is>
          <t>CLN-003</t>
        </is>
      </c>
      <c r="B44" s="9" t="inlineStr">
        <is>
          <t>Microfiber Bar Towels / Cleaning Cloths</t>
        </is>
      </c>
      <c r="C44" s="10" t="inlineStr">
        <is>
          <t>Piece</t>
        </is>
      </c>
      <c r="D44" s="11" t="n">
        <v>115</v>
      </c>
      <c r="E44" s="12" t="n">
        <v>2</v>
      </c>
      <c r="F44" s="13" t="n"/>
      <c r="G44" s="14">
        <f>IF(ISBLANK(F44), "", F44 - E44)</f>
        <v/>
      </c>
      <c r="H44" s="15">
        <f>IF(ISBLANK(F44), "", G44 * D44)</f>
        <v/>
      </c>
      <c r="I44" s="16">
        <f>IF(ISBLANK(F44), "", F44 * D44)</f>
        <v/>
      </c>
      <c r="J44" s="17">
        <f>IF(ISBLANK(F44), "⏳ Pending", IF(G44=0, "✅ Match", IF(G44&lt;0, "⚠️ Shortage", "🔺 Surplus")))</f>
        <v/>
      </c>
      <c r="K44" s="18" t="inlineStr">
        <is>
          <t>Bar wipe &amp; steam wand towel</t>
        </is>
      </c>
    </row>
    <row r="45" ht="21" customHeight="1">
      <c r="A45" s="19" t="inlineStr">
        <is>
          <t>CLN-004</t>
        </is>
      </c>
      <c r="B45" s="20" t="inlineStr">
        <is>
          <t>Heavy Duty Black Garbage Bags 26x32 (50s)</t>
        </is>
      </c>
      <c r="C45" s="21" t="inlineStr">
        <is>
          <t>Pack (50s)</t>
        </is>
      </c>
      <c r="D45" s="22" t="n">
        <v>300</v>
      </c>
      <c r="E45" s="23" t="n">
        <v>1</v>
      </c>
      <c r="F45" s="13" t="n"/>
      <c r="G45" s="24">
        <f>IF(ISBLANK(F45), "", F45 - E45)</f>
        <v/>
      </c>
      <c r="H45" s="25">
        <f>IF(ISBLANK(F45), "", G45 * D45)</f>
        <v/>
      </c>
      <c r="I45" s="26">
        <f>IF(ISBLANK(F45), "", F45 * D45)</f>
        <v/>
      </c>
      <c r="J45" s="27">
        <f>IF(ISBLANK(F45), "⏳ Pending", IF(G45=0, "✅ Match", IF(G45&lt;0, "⚠️ Shortage", "🔺 Surplus")))</f>
        <v/>
      </c>
      <c r="K45" s="28" t="inlineStr">
        <is>
          <t>Waste bin liners</t>
        </is>
      </c>
    </row>
    <row r="46" ht="21" customHeight="1">
      <c r="A46" s="8" t="inlineStr">
        <is>
          <t>CLN-005</t>
        </is>
      </c>
      <c r="B46" s="9" t="inlineStr">
        <is>
          <t>Heavy Duty Packaging &amp; Masking Tape</t>
        </is>
      </c>
      <c r="C46" s="10" t="inlineStr">
        <is>
          <t>Piece</t>
        </is>
      </c>
      <c r="D46" s="11" t="n">
        <v>159</v>
      </c>
      <c r="E46" s="12" t="n">
        <v>1</v>
      </c>
      <c r="F46" s="13" t="n"/>
      <c r="G46" s="14">
        <f>IF(ISBLANK(F46), "", F46 - E46)</f>
        <v/>
      </c>
      <c r="H46" s="15">
        <f>IF(ISBLANK(F46), "", G46 * D46)</f>
        <v/>
      </c>
      <c r="I46" s="16">
        <f>IF(ISBLANK(F46), "", F46 * D46)</f>
        <v/>
      </c>
      <c r="J46" s="17">
        <f>IF(ISBLANK(F46), "⏳ Pending", IF(G46=0, "✅ Match", IF(G46&lt;0, "⚠️ Shortage", "🔺 Surplus")))</f>
        <v/>
      </c>
      <c r="K46" s="18" t="inlineStr">
        <is>
          <t>Box sealing &amp; date labels</t>
        </is>
      </c>
    </row>
    <row r="47" ht="21" customHeight="1">
      <c r="A47" s="19" t="inlineStr">
        <is>
          <t>CLN-006</t>
        </is>
      </c>
      <c r="B47" s="20" t="inlineStr">
        <is>
          <t>Whiteboard Marker &amp; Shelf Label Pens</t>
        </is>
      </c>
      <c r="C47" s="21" t="inlineStr">
        <is>
          <t>Piece</t>
        </is>
      </c>
      <c r="D47" s="22" t="n">
        <v>64</v>
      </c>
      <c r="E47" s="23" t="n">
        <v>1</v>
      </c>
      <c r="F47" s="13" t="n"/>
      <c r="G47" s="24">
        <f>IF(ISBLANK(F47), "", F47 - E47)</f>
        <v/>
      </c>
      <c r="H47" s="25">
        <f>IF(ISBLANK(F47), "", G47 * D47)</f>
        <v/>
      </c>
      <c r="I47" s="26">
        <f>IF(ISBLANK(F47), "", F47 * D47)</f>
        <v/>
      </c>
      <c r="J47" s="27">
        <f>IF(ISBLANK(F47), "⏳ Pending", IF(G47=0, "✅ Match", IF(G47&lt;0, "⚠️ Shortage", "🔺 Surplus")))</f>
        <v/>
      </c>
      <c r="K47" s="28" t="inlineStr">
        <is>
          <t>Store menu board &amp; dating</t>
        </is>
      </c>
    </row>
    <row r="48" ht="21" customHeight="1">
      <c r="A48" s="8" t="inlineStr">
        <is>
          <t>CLN-007</t>
        </is>
      </c>
      <c r="B48" s="9" t="inlineStr">
        <is>
          <t>Store Promotional Balloons &amp; Hand Pump</t>
        </is>
      </c>
      <c r="C48" s="10" t="inlineStr">
        <is>
          <t>Set</t>
        </is>
      </c>
      <c r="D48" s="11" t="n">
        <v>104</v>
      </c>
      <c r="E48" s="12" t="n">
        <v>1</v>
      </c>
      <c r="F48" s="13" t="n"/>
      <c r="G48" s="14">
        <f>IF(ISBLANK(F48), "", F48 - E48)</f>
        <v/>
      </c>
      <c r="H48" s="15">
        <f>IF(ISBLANK(F48), "", G48 * D48)</f>
        <v/>
      </c>
      <c r="I48" s="16">
        <f>IF(ISBLANK(F48), "", F48 * D48)</f>
        <v/>
      </c>
      <c r="J48" s="17">
        <f>IF(ISBLANK(F48), "⏳ Pending", IF(G48=0, "✅ Match", IF(G48&lt;0, "⚠️ Shortage", "🔺 Surplus")))</f>
        <v/>
      </c>
      <c r="K48" s="18" t="inlineStr">
        <is>
          <t>Marketing &amp; events kit</t>
        </is>
      </c>
    </row>
    <row r="49" ht="22" customHeight="1">
      <c r="A49" s="29" t="inlineStr">
        <is>
          <t>Subtotal — Cleaning, Hygiene &amp; Maintenance:</t>
        </is>
      </c>
      <c r="B49" s="30" t="n"/>
      <c r="C49" s="30" t="n"/>
      <c r="D49" s="30" t="inlineStr"/>
      <c r="E49" s="31">
        <f>SUM(E42:E48)</f>
        <v/>
      </c>
      <c r="F49" s="31">
        <f>SUM(F42:F48)</f>
        <v/>
      </c>
      <c r="G49" s="32">
        <f>SUM(G42:G48)</f>
        <v/>
      </c>
      <c r="H49" s="33">
        <f>SUM(H42:H48)</f>
        <v/>
      </c>
      <c r="I49" s="34">
        <f>SUM(I42:I48)</f>
        <v/>
      </c>
      <c r="J49" s="30" t="inlineStr"/>
      <c r="K49" s="30" t="inlineStr"/>
    </row>
    <row r="51" ht="26" customHeight="1">
      <c r="A51" s="46" t="inlineStr">
        <is>
          <t>🏆 GRAND TOTAL (AUDIT SUMMARY):</t>
        </is>
      </c>
      <c r="B51" s="47" t="n"/>
      <c r="C51" s="47" t="n"/>
      <c r="D51" s="47" t="n"/>
      <c r="E51" s="48">
        <f>SUM(E28, E39, E49)</f>
        <v/>
      </c>
      <c r="F51" s="48">
        <f>SUM(F28, F39, F49)</f>
        <v/>
      </c>
      <c r="G51" s="49">
        <f>SUM(G28, G39, G49)</f>
        <v/>
      </c>
      <c r="H51" s="50">
        <f>SUM(H28, H39, H49)</f>
        <v/>
      </c>
      <c r="I51" s="51">
        <f>SUM(I28, I39, I49)</f>
        <v/>
      </c>
      <c r="J51" s="47" t="n"/>
      <c r="K51" s="47" t="n"/>
    </row>
    <row r="54">
      <c r="B54" s="52" t="inlineStr">
        <is>
          <t>Conducted By (Barista Signature): ____________________</t>
        </is>
      </c>
      <c r="F54" s="52" t="inlineStr">
        <is>
          <t>Audited &amp; Accepted By (Manager Signature): ____________________</t>
        </is>
      </c>
    </row>
    <row r="55">
      <c r="B55" s="53" t="inlineStr">
        <is>
          <t>Time Completed: ____________________</t>
        </is>
      </c>
      <c r="F55" s="53" t="inlineStr">
        <is>
          <t>Date Approved: ____________________</t>
        </is>
      </c>
    </row>
  </sheetData>
  <mergeCells count="15">
    <mergeCell ref="A4:B4"/>
    <mergeCell ref="A28:C28"/>
    <mergeCell ref="E4:F4"/>
    <mergeCell ref="I4:J4"/>
    <mergeCell ref="A49:C49"/>
    <mergeCell ref="A30:K30"/>
    <mergeCell ref="A5:B5"/>
    <mergeCell ref="A2:K2"/>
    <mergeCell ref="E5:F5"/>
    <mergeCell ref="A41:K41"/>
    <mergeCell ref="I5:J5"/>
    <mergeCell ref="A39:C39"/>
    <mergeCell ref="A1:K1"/>
    <mergeCell ref="A51:C51"/>
    <mergeCell ref="A8:K8"/>
  </mergeCells>
  <conditionalFormatting sqref="G9:H48">
    <cfRule type="cellIs" priority="1" operator="lessThan" dxfId="0" stopIfTrue="1">
      <formula>0</formula>
    </cfRule>
    <cfRule type="cellIs" priority="2" operator="greaterThanOrEqual" dxfId="1" stopIfTrue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6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5" customWidth="1" min="4" max="4"/>
    <col width="15" customWidth="1" min="5" max="5"/>
    <col width="21" customWidth="1" min="6" max="6"/>
    <col width="16" customWidth="1" min="7" max="7"/>
    <col width="18" customWidth="1" min="8" max="8"/>
    <col width="20" customWidth="1" min="9" max="9"/>
    <col width="16" customWidth="1" min="10" max="10"/>
    <col width="32" customWidth="1" min="11" max="11"/>
  </cols>
  <sheetData>
    <row r="1" ht="28" customHeight="1">
      <c r="A1" s="1" t="inlineStr">
        <is>
          <t>☕ ESPRESSO YOURSELF &amp; TEA HOUSE — PHYSICAL INVENTORY AUDIT</t>
        </is>
      </c>
    </row>
    <row r="2" ht="18" customHeight="1">
      <c r="A2" s="2" t="inlineStr">
        <is>
          <t>Branch: Cebu City (#30)  |  Audit Section: Clipboard Quick Count (Pen &amp; Paper)  |  Generated for Today's Stock Count</t>
        </is>
      </c>
    </row>
    <row r="4" ht="22" customHeight="1">
      <c r="A4" s="3" t="inlineStr">
        <is>
          <t>AUDIT DATE:</t>
        </is>
      </c>
      <c r="C4" s="4" t="inlineStr">
        <is>
          <t>September 15, 2026</t>
        </is>
      </c>
      <c r="E4" s="3" t="inlineStr">
        <is>
          <t>COUNTED BY (BARISTA):</t>
        </is>
      </c>
      <c r="G4" s="4" t="inlineStr">
        <is>
          <t>________________________</t>
        </is>
      </c>
      <c r="I4" s="3" t="inlineStr">
        <is>
          <t>STATUS:</t>
        </is>
      </c>
      <c r="K4" s="4" t="inlineStr">
        <is>
          <t>READY FOR COUNT</t>
        </is>
      </c>
    </row>
    <row r="5" ht="22" customHeight="1">
      <c r="A5" s="3" t="inlineStr">
        <is>
          <t>STORE SHIFT:</t>
        </is>
      </c>
      <c r="C5" s="4" t="inlineStr">
        <is>
          <t>All-Day / Closing Audit</t>
        </is>
      </c>
      <c r="E5" s="3" t="inlineStr">
        <is>
          <t>VERIFIED BY (SUPERVISOR):</t>
        </is>
      </c>
      <c r="G5" s="4" t="inlineStr">
        <is>
          <t>________________________</t>
        </is>
      </c>
      <c r="I5" s="3" t="inlineStr">
        <is>
          <t>DISCREPANCY ACTION:</t>
        </is>
      </c>
      <c r="K5" s="4" t="inlineStr">
        <is>
          <t>Requires Manager Sign-off</t>
        </is>
      </c>
    </row>
    <row r="7" ht="28" customHeight="1">
      <c r="A7" s="5" t="inlineStr">
        <is>
          <t>SKU / CODE</t>
        </is>
      </c>
      <c r="B7" s="5" t="inlineStr">
        <is>
          <t>ITEM DESCRIPTION &amp; SPECS</t>
        </is>
      </c>
      <c r="C7" s="5" t="inlineStr">
        <is>
          <t>UOM</t>
        </is>
      </c>
      <c r="D7" s="5" t="inlineStr">
        <is>
          <t>UNIT COST (₱)</t>
        </is>
      </c>
      <c r="E7" s="5" t="inlineStr">
        <is>
          <t>SYSTEM STOCK</t>
        </is>
      </c>
      <c r="F7" s="6" t="inlineStr">
        <is>
          <t>★ PHYSICAL COUNT ★</t>
        </is>
      </c>
      <c r="G7" s="5" t="inlineStr">
        <is>
          <t>VARIANCE (QTY)</t>
        </is>
      </c>
      <c r="H7" s="5" t="inlineStr">
        <is>
          <t>VARIANCE VALUE (₱)</t>
        </is>
      </c>
      <c r="I7" s="5" t="inlineStr">
        <is>
          <t>TOTAL COUNT VALUE (₱)</t>
        </is>
      </c>
      <c r="J7" s="5" t="inlineStr">
        <is>
          <t>AUDIT STATUS</t>
        </is>
      </c>
      <c r="K7" s="5" t="inlineStr">
        <is>
          <t>BARISTA REMARKS / EXPIRY</t>
        </is>
      </c>
    </row>
    <row r="8" ht="24" customHeight="1">
      <c r="A8" s="7" t="inlineStr">
        <is>
          <t xml:space="preserve">  ☕  1. COFFEE BEANS &amp; DRINK BASES</t>
        </is>
      </c>
    </row>
    <row r="9" ht="21" customHeight="1">
      <c r="A9" s="8" t="inlineStr">
        <is>
          <t>ING-001</t>
        </is>
      </c>
      <c r="B9" s="9" t="inlineStr">
        <is>
          <t>Concept Blend 1 (Espresso Beans)</t>
        </is>
      </c>
      <c r="C9" s="10" t="inlineStr">
        <is>
          <t>Pack (1kg)</t>
        </is>
      </c>
      <c r="D9" s="11" t="n">
        <v>980</v>
      </c>
      <c r="E9" s="12" t="n">
        <v>6.27</v>
      </c>
      <c r="F9" s="13" t="n"/>
      <c r="G9" s="14">
        <f>IF(ISBLANK(F9), "", F9 - E9)</f>
        <v/>
      </c>
      <c r="H9" s="15">
        <f>IF(ISBLANK(F9), "", G9 * D9)</f>
        <v/>
      </c>
      <c r="I9" s="16">
        <f>IF(ISBLANK(F9), "", F9 * D9)</f>
        <v/>
      </c>
      <c r="J9" s="17">
        <f>IF(ISBLANK(F9), "⏳ Pending", IF(G9=0, "✅ Match", IF(G9&lt;0, "⚠️ Shortage", "🔺 Surplus")))</f>
        <v/>
      </c>
      <c r="K9" s="18" t="inlineStr">
        <is>
          <t>Main house espresso blend</t>
        </is>
      </c>
    </row>
    <row r="10" ht="21" customHeight="1">
      <c r="A10" s="19" t="inlineStr">
        <is>
          <t>ING-002</t>
        </is>
      </c>
      <c r="B10" s="20" t="inlineStr">
        <is>
          <t>Australia's Own Coffee Blend</t>
        </is>
      </c>
      <c r="C10" s="21" t="inlineStr">
        <is>
          <t>Pack</t>
        </is>
      </c>
      <c r="D10" s="22" t="n">
        <v>204</v>
      </c>
      <c r="E10" s="23" t="n">
        <v>1</v>
      </c>
      <c r="F10" s="13" t="n"/>
      <c r="G10" s="24">
        <f>IF(ISBLANK(F10), "", F10 - E10)</f>
        <v/>
      </c>
      <c r="H10" s="25">
        <f>IF(ISBLANK(F10), "", G10 * D10)</f>
        <v/>
      </c>
      <c r="I10" s="26">
        <f>IF(ISBLANK(F10), "", F10 * D10)</f>
        <v/>
      </c>
      <c r="J10" s="27">
        <f>IF(ISBLANK(F10), "⏳ Pending", IF(G10=0, "✅ Match", IF(G10&lt;0, "⚠️ Shortage", "🔺 Surplus")))</f>
        <v/>
      </c>
      <c r="K10" s="28" t="inlineStr">
        <is>
          <t>Specialty roast</t>
        </is>
      </c>
    </row>
    <row r="11" ht="21" customHeight="1">
      <c r="A11" s="8" t="inlineStr">
        <is>
          <t>ING-003</t>
        </is>
      </c>
      <c r="B11" s="9" t="inlineStr">
        <is>
          <t>Easy Dark Chocolate Base 1kg</t>
        </is>
      </c>
      <c r="C11" s="10" t="inlineStr">
        <is>
          <t>Pack (1kg)</t>
        </is>
      </c>
      <c r="D11" s="11" t="n">
        <v>396</v>
      </c>
      <c r="E11" s="12" t="n">
        <v>1</v>
      </c>
      <c r="F11" s="13" t="n"/>
      <c r="G11" s="14">
        <f>IF(ISBLANK(F11), "", F11 - E11)</f>
        <v/>
      </c>
      <c r="H11" s="15">
        <f>IF(ISBLANK(F11), "", G11 * D11)</f>
        <v/>
      </c>
      <c r="I11" s="16">
        <f>IF(ISBLANK(F11), "", F11 * D11)</f>
        <v/>
      </c>
      <c r="J11" s="17">
        <f>IF(ISBLANK(F11), "⏳ Pending", IF(G11=0, "✅ Match", IF(G11&lt;0, "⚠️ Shortage", "🔺 Surplus")))</f>
        <v/>
      </c>
      <c r="K11" s="18" t="inlineStr">
        <is>
          <t>Mocha &amp; Hot Choco base powder</t>
        </is>
      </c>
    </row>
    <row r="12" ht="21" customHeight="1">
      <c r="A12" s="19" t="inlineStr">
        <is>
          <t>ING-004</t>
        </is>
      </c>
      <c r="B12" s="20" t="inlineStr">
        <is>
          <t>Easy Cookies &amp; Cream Powder 1kg</t>
        </is>
      </c>
      <c r="C12" s="21" t="inlineStr">
        <is>
          <t>Pack (1kg)</t>
        </is>
      </c>
      <c r="D12" s="22" t="n">
        <v>305</v>
      </c>
      <c r="E12" s="23" t="n">
        <v>1</v>
      </c>
      <c r="F12" s="13" t="n"/>
      <c r="G12" s="24">
        <f>IF(ISBLANK(F12), "", F12 - E12)</f>
        <v/>
      </c>
      <c r="H12" s="25">
        <f>IF(ISBLANK(F12), "", G12 * D12)</f>
        <v/>
      </c>
      <c r="I12" s="26">
        <f>IF(ISBLANK(F12), "", F12 * D12)</f>
        <v/>
      </c>
      <c r="J12" s="27">
        <f>IF(ISBLANK(F12), "⏳ Pending", IF(G12=0, "✅ Match", IF(G12&lt;0, "⚠️ Shortage", "🔺 Surplus")))</f>
        <v/>
      </c>
      <c r="K12" s="28" t="inlineStr">
        <is>
          <t>Blended frappe &amp; Oreo base</t>
        </is>
      </c>
    </row>
    <row r="13" ht="21" customHeight="1">
      <c r="A13" s="8" t="inlineStr">
        <is>
          <t>ING-005</t>
        </is>
      </c>
      <c r="B13" s="9" t="inlineStr">
        <is>
          <t>Bakersfield Caramel Fudge 1kg</t>
        </is>
      </c>
      <c r="C13" s="10" t="inlineStr">
        <is>
          <t>Pack (1kg)</t>
        </is>
      </c>
      <c r="D13" s="11" t="n">
        <v>415</v>
      </c>
      <c r="E13" s="12" t="n">
        <v>1</v>
      </c>
      <c r="F13" s="13" t="n"/>
      <c r="G13" s="14">
        <f>IF(ISBLANK(F13), "", F13 - E13)</f>
        <v/>
      </c>
      <c r="H13" s="15">
        <f>IF(ISBLANK(F13), "", G13 * D13)</f>
        <v/>
      </c>
      <c r="I13" s="16">
        <f>IF(ISBLANK(F13), "", F13 * D13)</f>
        <v/>
      </c>
      <c r="J13" s="17">
        <f>IF(ISBLANK(F13), "⏳ Pending", IF(G13=0, "✅ Match", IF(G13&lt;0, "⚠️ Shortage", "🔺 Surplus")))</f>
        <v/>
      </c>
      <c r="K13" s="18" t="inlineStr">
        <is>
          <t>Caramel drizzle &amp; drink base</t>
        </is>
      </c>
    </row>
    <row r="14" ht="21" customHeight="1">
      <c r="A14" s="19" t="inlineStr">
        <is>
          <t>ING-006</t>
        </is>
      </c>
      <c r="B14" s="20" t="inlineStr">
        <is>
          <t>Whoop Classic Ube Taro Powder 1kg</t>
        </is>
      </c>
      <c r="C14" s="21" t="inlineStr">
        <is>
          <t>Pack (1kg)</t>
        </is>
      </c>
      <c r="D14" s="22" t="n">
        <v>380</v>
      </c>
      <c r="E14" s="23" t="n">
        <v>1</v>
      </c>
      <c r="F14" s="13" t="n"/>
      <c r="G14" s="24">
        <f>IF(ISBLANK(F14), "", F14 - E14)</f>
        <v/>
      </c>
      <c r="H14" s="25">
        <f>IF(ISBLANK(F14), "", G14 * D14)</f>
        <v/>
      </c>
      <c r="I14" s="26">
        <f>IF(ISBLANK(F14), "", F14 * D14)</f>
        <v/>
      </c>
      <c r="J14" s="27">
        <f>IF(ISBLANK(F14), "⏳ Pending", IF(G14=0, "✅ Match", IF(G14&lt;0, "⚠️ Shortage", "🔺 Surplus")))</f>
        <v/>
      </c>
      <c r="K14" s="28" t="inlineStr">
        <is>
          <t>Specialty blended drink base</t>
        </is>
      </c>
    </row>
    <row r="15" ht="22" customHeight="1">
      <c r="A15" s="29" t="inlineStr">
        <is>
          <t>Subtotal — Coffee Beans &amp; Drink Bases:</t>
        </is>
      </c>
      <c r="B15" s="30" t="n"/>
      <c r="C15" s="30" t="n"/>
      <c r="D15" s="30" t="inlineStr"/>
      <c r="E15" s="31">
        <f>SUM(E9:E14)</f>
        <v/>
      </c>
      <c r="F15" s="31">
        <f>SUM(F9:F14)</f>
        <v/>
      </c>
      <c r="G15" s="32">
        <f>SUM(G9:G14)</f>
        <v/>
      </c>
      <c r="H15" s="33">
        <f>SUM(H9:H14)</f>
        <v/>
      </c>
      <c r="I15" s="34">
        <f>SUM(I9:I14)</f>
        <v/>
      </c>
      <c r="J15" s="30" t="inlineStr"/>
      <c r="K15" s="30" t="inlineStr"/>
    </row>
    <row r="17" ht="24" customHeight="1">
      <c r="A17" s="35" t="inlineStr">
        <is>
          <t xml:space="preserve">  🥛  2. MILKS &amp; DAIRY SUPPLIES</t>
        </is>
      </c>
    </row>
    <row r="18" ht="21" customHeight="1">
      <c r="A18" s="8" t="inlineStr">
        <is>
          <t>ING-007</t>
        </is>
      </c>
      <c r="B18" s="9" t="inlineStr">
        <is>
          <t>Arla Full Cream Milk 1L</t>
        </is>
      </c>
      <c r="C18" s="10" t="inlineStr">
        <is>
          <t>Pack (1L)</t>
        </is>
      </c>
      <c r="D18" s="11" t="n">
        <v>99</v>
      </c>
      <c r="E18" s="12" t="n">
        <v>10</v>
      </c>
      <c r="F18" s="13" t="n"/>
      <c r="G18" s="14">
        <f>IF(ISBLANK(F18), "", F18 - E18)</f>
        <v/>
      </c>
      <c r="H18" s="15">
        <f>IF(ISBLANK(F18), "", G18 * D18)</f>
        <v/>
      </c>
      <c r="I18" s="16">
        <f>IF(ISBLANK(F18), "", F18 * D18)</f>
        <v/>
      </c>
      <c r="J18" s="17">
        <f>IF(ISBLANK(F18), "⏳ Pending", IF(G18=0, "✅ Match", IF(G18&lt;0, "⚠️ Shortage", "🔺 Surplus")))</f>
        <v/>
      </c>
      <c r="K18" s="18" t="inlineStr">
        <is>
          <t>Primary steaming milk for lattes</t>
        </is>
      </c>
    </row>
    <row r="19" ht="21" customHeight="1">
      <c r="A19" s="19" t="inlineStr">
        <is>
          <t>ING-008</t>
        </is>
      </c>
      <c r="B19" s="20" t="inlineStr">
        <is>
          <t>Master Barista Cow's Milk 1L</t>
        </is>
      </c>
      <c r="C19" s="21" t="inlineStr">
        <is>
          <t>Pack (1L)</t>
        </is>
      </c>
      <c r="D19" s="22" t="n">
        <v>110</v>
      </c>
      <c r="E19" s="23" t="n">
        <v>12</v>
      </c>
      <c r="F19" s="13" t="n"/>
      <c r="G19" s="24">
        <f>IF(ISBLANK(F19), "", F19 - E19)</f>
        <v/>
      </c>
      <c r="H19" s="25">
        <f>IF(ISBLANK(F19), "", G19 * D19)</f>
        <v/>
      </c>
      <c r="I19" s="26">
        <f>IF(ISBLANK(F19), "", F19 * D19)</f>
        <v/>
      </c>
      <c r="J19" s="27">
        <f>IF(ISBLANK(F19), "⏳ Pending", IF(G19=0, "✅ Match", IF(G19&lt;0, "⚠️ Shortage", "🔺 Surplus")))</f>
        <v/>
      </c>
      <c r="K19" s="28" t="inlineStr">
        <is>
          <t>Barista specialty milk</t>
        </is>
      </c>
    </row>
    <row r="20" ht="21" customHeight="1">
      <c r="A20" s="8" t="inlineStr">
        <is>
          <t>ING-009</t>
        </is>
      </c>
      <c r="B20" s="9" t="inlineStr">
        <is>
          <t>Doreen Condensed Milk 390g</t>
        </is>
      </c>
      <c r="C20" s="10" t="inlineStr">
        <is>
          <t>Can (390g)</t>
        </is>
      </c>
      <c r="D20" s="11" t="n">
        <v>44</v>
      </c>
      <c r="E20" s="12" t="n">
        <v>19.23</v>
      </c>
      <c r="F20" s="13" t="n"/>
      <c r="G20" s="14">
        <f>IF(ISBLANK(F20), "", F20 - E20)</f>
        <v/>
      </c>
      <c r="H20" s="15">
        <f>IF(ISBLANK(F20), "", G20 * D20)</f>
        <v/>
      </c>
      <c r="I20" s="16">
        <f>IF(ISBLANK(F20), "", F20 * D20)</f>
        <v/>
      </c>
      <c r="J20" s="17">
        <f>IF(ISBLANK(F20), "⏳ Pending", IF(G20=0, "✅ Match", IF(G20&lt;0, "⚠️ Shortage", "🔺 Surplus")))</f>
        <v/>
      </c>
      <c r="K20" s="18" t="inlineStr">
        <is>
          <t>Spanish latte sweet base</t>
        </is>
      </c>
    </row>
    <row r="21" ht="21" customHeight="1">
      <c r="A21" s="19" t="inlineStr">
        <is>
          <t>ING-010</t>
        </is>
      </c>
      <c r="B21" s="20" t="inlineStr">
        <is>
          <t>Soymilk 1L (Plant-based)</t>
        </is>
      </c>
      <c r="C21" s="21" t="inlineStr">
        <is>
          <t>Pack (1L)</t>
        </is>
      </c>
      <c r="D21" s="22" t="n">
        <v>87.5</v>
      </c>
      <c r="E21" s="23" t="n">
        <v>2</v>
      </c>
      <c r="F21" s="13" t="n"/>
      <c r="G21" s="24">
        <f>IF(ISBLANK(F21), "", F21 - E21)</f>
        <v/>
      </c>
      <c r="H21" s="25">
        <f>IF(ISBLANK(F21), "", G21 * D21)</f>
        <v/>
      </c>
      <c r="I21" s="26">
        <f>IF(ISBLANK(F21), "", F21 * D21)</f>
        <v/>
      </c>
      <c r="J21" s="27">
        <f>IF(ISBLANK(F21), "⏳ Pending", IF(G21=0, "✅ Match", IF(G21&lt;0, "⚠️ Shortage", "🔺 Surplus")))</f>
        <v/>
      </c>
      <c r="K21" s="28" t="inlineStr">
        <is>
          <t>Non-dairy milk substitute</t>
        </is>
      </c>
    </row>
    <row r="22" ht="21" customHeight="1">
      <c r="A22" s="8" t="inlineStr">
        <is>
          <t>ING-011</t>
        </is>
      </c>
      <c r="B22" s="9" t="inlineStr">
        <is>
          <t>Whipping Cream 1L</t>
        </is>
      </c>
      <c r="C22" s="10" t="inlineStr">
        <is>
          <t>Bot (1L)</t>
        </is>
      </c>
      <c r="D22" s="11" t="n">
        <v>250</v>
      </c>
      <c r="E22" s="12" t="n">
        <v>1</v>
      </c>
      <c r="F22" s="13" t="n"/>
      <c r="G22" s="14">
        <f>IF(ISBLANK(F22), "", F22 - E22)</f>
        <v/>
      </c>
      <c r="H22" s="15">
        <f>IF(ISBLANK(F22), "", G22 * D22)</f>
        <v/>
      </c>
      <c r="I22" s="16">
        <f>IF(ISBLANK(F22), "", F22 * D22)</f>
        <v/>
      </c>
      <c r="J22" s="17">
        <f>IF(ISBLANK(F22), "⏳ Pending", IF(G22=0, "✅ Match", IF(G22&lt;0, "⚠️ Shortage", "🔺 Surplus")))</f>
        <v/>
      </c>
      <c r="K22" s="18" t="inlineStr">
        <is>
          <t>Cold foam &amp; sea salt cream topper</t>
        </is>
      </c>
    </row>
    <row r="23" ht="21" customHeight="1">
      <c r="A23" s="19" t="inlineStr">
        <is>
          <t>ING-012</t>
        </is>
      </c>
      <c r="B23" s="20" t="inlineStr">
        <is>
          <t>Artisanal Salted Cream Cheese</t>
        </is>
      </c>
      <c r="C23" s="21" t="inlineStr">
        <is>
          <t>Pack</t>
        </is>
      </c>
      <c r="D23" s="22" t="n">
        <v>200</v>
      </c>
      <c r="E23" s="23" t="n">
        <v>2</v>
      </c>
      <c r="F23" s="13" t="n"/>
      <c r="G23" s="24">
        <f>IF(ISBLANK(F23), "", F23 - E23)</f>
        <v/>
      </c>
      <c r="H23" s="25">
        <f>IF(ISBLANK(F23), "", G23 * D23)</f>
        <v/>
      </c>
      <c r="I23" s="26">
        <f>IF(ISBLANK(F23), "", F23 * D23)</f>
        <v/>
      </c>
      <c r="J23" s="27">
        <f>IF(ISBLANK(F23), "⏳ Pending", IF(G23=0, "✅ Match", IF(G23&lt;0, "⚠️ Shortage", "🔺 Surplus")))</f>
        <v/>
      </c>
      <c r="K23" s="28" t="inlineStr">
        <is>
          <t>Sea salt cheese foam cap</t>
        </is>
      </c>
    </row>
    <row r="24" ht="22" customHeight="1">
      <c r="A24" s="29" t="inlineStr">
        <is>
          <t>Subtotal — Milks &amp; Dairy Supplies:</t>
        </is>
      </c>
      <c r="B24" s="30" t="n"/>
      <c r="C24" s="30" t="n"/>
      <c r="D24" s="30" t="inlineStr"/>
      <c r="E24" s="31">
        <f>SUM(E18:E23)</f>
        <v/>
      </c>
      <c r="F24" s="31">
        <f>SUM(F18:F23)</f>
        <v/>
      </c>
      <c r="G24" s="32">
        <f>SUM(G18:G23)</f>
        <v/>
      </c>
      <c r="H24" s="33">
        <f>SUM(H18:H23)</f>
        <v/>
      </c>
      <c r="I24" s="34">
        <f>SUM(I18:I23)</f>
        <v/>
      </c>
      <c r="J24" s="30" t="inlineStr"/>
      <c r="K24" s="30" t="inlineStr"/>
    </row>
    <row r="26" ht="24" customHeight="1">
      <c r="A26" s="36" t="inlineStr">
        <is>
          <t xml:space="preserve">  🍯  3. FLAVOR SYRUPS, PURÉES &amp; SAUCES</t>
        </is>
      </c>
    </row>
    <row r="27" ht="21" customHeight="1">
      <c r="A27" s="8" t="inlineStr">
        <is>
          <t>SYR-001</t>
        </is>
      </c>
      <c r="B27" s="9" t="inlineStr">
        <is>
          <t>SHOTT Vanilla Syrup 1L</t>
        </is>
      </c>
      <c r="C27" s="10" t="inlineStr">
        <is>
          <t>Bot (1L)</t>
        </is>
      </c>
      <c r="D27" s="11" t="n">
        <v>690</v>
      </c>
      <c r="E27" s="12" t="n">
        <v>0.75</v>
      </c>
      <c r="F27" s="13" t="n"/>
      <c r="G27" s="14">
        <f>IF(ISBLANK(F27), "", F27 - E27)</f>
        <v/>
      </c>
      <c r="H27" s="15">
        <f>IF(ISBLANK(F27), "", G27 * D27)</f>
        <v/>
      </c>
      <c r="I27" s="16">
        <f>IF(ISBLANK(F27), "", F27 * D27)</f>
        <v/>
      </c>
      <c r="J27" s="17">
        <f>IF(ISBLANK(F27), "⏳ Pending", IF(G27=0, "✅ Match", IF(G27&lt;0, "⚠️ Shortage", "🔺 Surplus")))</f>
        <v/>
      </c>
      <c r="K27" s="18" t="inlineStr">
        <is>
          <t>Vanilla Latte &amp; Frappe</t>
        </is>
      </c>
    </row>
    <row r="28" ht="21" customHeight="1">
      <c r="A28" s="19" t="inlineStr">
        <is>
          <t>SYR-002</t>
        </is>
      </c>
      <c r="B28" s="20" t="inlineStr">
        <is>
          <t>SHOTT Caramel Syrup 1L</t>
        </is>
      </c>
      <c r="C28" s="21" t="inlineStr">
        <is>
          <t>Bot (1L)</t>
        </is>
      </c>
      <c r="D28" s="22" t="n">
        <v>690</v>
      </c>
      <c r="E28" s="23" t="n">
        <v>0.2</v>
      </c>
      <c r="F28" s="13" t="n"/>
      <c r="G28" s="24">
        <f>IF(ISBLANK(F28), "", F28 - E28)</f>
        <v/>
      </c>
      <c r="H28" s="25">
        <f>IF(ISBLANK(F28), "", G28 * D28)</f>
        <v/>
      </c>
      <c r="I28" s="26">
        <f>IF(ISBLANK(F28), "", F28 * D28)</f>
        <v/>
      </c>
      <c r="J28" s="27">
        <f>IF(ISBLANK(F28), "⏳ Pending", IF(G28=0, "✅ Match", IF(G28&lt;0, "⚠️ Shortage", "🔺 Surplus")))</f>
        <v/>
      </c>
      <c r="K28" s="28" t="inlineStr">
        <is>
          <t>Caramel Macchiato</t>
        </is>
      </c>
    </row>
    <row r="29" ht="21" customHeight="1">
      <c r="A29" s="8" t="inlineStr">
        <is>
          <t>SYR-003</t>
        </is>
      </c>
      <c r="B29" s="9" t="inlineStr">
        <is>
          <t>SHOTT Macadamia Syrup 1L</t>
        </is>
      </c>
      <c r="C29" s="10" t="inlineStr">
        <is>
          <t>Bot (1L)</t>
        </is>
      </c>
      <c r="D29" s="11" t="n">
        <v>690</v>
      </c>
      <c r="E29" s="12" t="n">
        <v>1</v>
      </c>
      <c r="F29" s="13" t="n"/>
      <c r="G29" s="14">
        <f>IF(ISBLANK(F29), "", F29 - E29)</f>
        <v/>
      </c>
      <c r="H29" s="15">
        <f>IF(ISBLANK(F29), "", G29 * D29)</f>
        <v/>
      </c>
      <c r="I29" s="16">
        <f>IF(ISBLANK(F29), "", F29 * D29)</f>
        <v/>
      </c>
      <c r="J29" s="17">
        <f>IF(ISBLANK(F29), "⏳ Pending", IF(G29=0, "✅ Match", IF(G29&lt;0, "⚠️ Shortage", "🔺 Surplus")))</f>
        <v/>
      </c>
      <c r="K29" s="18" t="inlineStr">
        <is>
          <t>Macadamia Latte</t>
        </is>
      </c>
    </row>
    <row r="30" ht="21" customHeight="1">
      <c r="A30" s="19" t="inlineStr">
        <is>
          <t>SYR-004</t>
        </is>
      </c>
      <c r="B30" s="20" t="inlineStr">
        <is>
          <t>SHOTT Irish Cream Syrup 1L</t>
        </is>
      </c>
      <c r="C30" s="21" t="inlineStr">
        <is>
          <t>Bot (1L)</t>
        </is>
      </c>
      <c r="D30" s="22" t="n">
        <v>690</v>
      </c>
      <c r="E30" s="23" t="n">
        <v>1</v>
      </c>
      <c r="F30" s="13" t="n"/>
      <c r="G30" s="24">
        <f>IF(ISBLANK(F30), "", F30 - E30)</f>
        <v/>
      </c>
      <c r="H30" s="25">
        <f>IF(ISBLANK(F30), "", G30 * D30)</f>
        <v/>
      </c>
      <c r="I30" s="26">
        <f>IF(ISBLANK(F30), "", F30 * D30)</f>
        <v/>
      </c>
      <c r="J30" s="27">
        <f>IF(ISBLANK(F30), "⏳ Pending", IF(G30=0, "✅ Match", IF(G30&lt;0, "⚠️ Shortage", "🔺 Surplus")))</f>
        <v/>
      </c>
      <c r="K30" s="28" t="inlineStr">
        <is>
          <t>Irish Cream Latte</t>
        </is>
      </c>
    </row>
    <row r="31" ht="21" customHeight="1">
      <c r="A31" s="8" t="inlineStr">
        <is>
          <t>SYR-005</t>
        </is>
      </c>
      <c r="B31" s="9" t="inlineStr">
        <is>
          <t>SHOTT Butterscotch Syrup 1L</t>
        </is>
      </c>
      <c r="C31" s="10" t="inlineStr">
        <is>
          <t>Bot (1L)</t>
        </is>
      </c>
      <c r="D31" s="11" t="n">
        <v>690</v>
      </c>
      <c r="E31" s="12" t="n">
        <v>1</v>
      </c>
      <c r="F31" s="13" t="n"/>
      <c r="G31" s="14">
        <f>IF(ISBLANK(F31), "", F31 - E31)</f>
        <v/>
      </c>
      <c r="H31" s="15">
        <f>IF(ISBLANK(F31), "", G31 * D31)</f>
        <v/>
      </c>
      <c r="I31" s="16">
        <f>IF(ISBLANK(F31), "", F31 * D31)</f>
        <v/>
      </c>
      <c r="J31" s="17">
        <f>IF(ISBLANK(F31), "⏳ Pending", IF(G31=0, "✅ Match", IF(G31&lt;0, "⚠️ Shortage", "🔺 Surplus")))</f>
        <v/>
      </c>
      <c r="K31" s="18" t="inlineStr">
        <is>
          <t>Butterscotch Latte</t>
        </is>
      </c>
    </row>
    <row r="32" ht="21" customHeight="1">
      <c r="A32" s="19" t="inlineStr">
        <is>
          <t>SYR-006</t>
        </is>
      </c>
      <c r="B32" s="20" t="inlineStr">
        <is>
          <t>SHOTT White Chocolate Syrup 1L</t>
        </is>
      </c>
      <c r="C32" s="21" t="inlineStr">
        <is>
          <t>Bot (1L)</t>
        </is>
      </c>
      <c r="D32" s="22" t="n">
        <v>690</v>
      </c>
      <c r="E32" s="23" t="n">
        <v>9.84</v>
      </c>
      <c r="F32" s="13" t="n"/>
      <c r="G32" s="24">
        <f>IF(ISBLANK(F32), "", F32 - E32)</f>
        <v/>
      </c>
      <c r="H32" s="25">
        <f>IF(ISBLANK(F32), "", G32 * D32)</f>
        <v/>
      </c>
      <c r="I32" s="26">
        <f>IF(ISBLANK(F32), "", F32 * D32)</f>
        <v/>
      </c>
      <c r="J32" s="27">
        <f>IF(ISBLANK(F32), "⏳ Pending", IF(G32=0, "✅ Match", IF(G32&lt;0, "⚠️ Shortage", "🔺 Surplus")))</f>
        <v/>
      </c>
      <c r="K32" s="28" t="inlineStr">
        <is>
          <t>White Choco Latte &amp; Matcha</t>
        </is>
      </c>
    </row>
    <row r="33" ht="21" customHeight="1">
      <c r="A33" s="8" t="inlineStr">
        <is>
          <t>SYR-007</t>
        </is>
      </c>
      <c r="B33" s="9" t="inlineStr">
        <is>
          <t>SHOTT Pink Guava Syrup 1L</t>
        </is>
      </c>
      <c r="C33" s="10" t="inlineStr">
        <is>
          <t>Bot (1L)</t>
        </is>
      </c>
      <c r="D33" s="11" t="n">
        <v>890</v>
      </c>
      <c r="E33" s="12" t="n">
        <v>1</v>
      </c>
      <c r="F33" s="13" t="n"/>
      <c r="G33" s="14">
        <f>IF(ISBLANK(F33), "", F33 - E33)</f>
        <v/>
      </c>
      <c r="H33" s="15">
        <f>IF(ISBLANK(F33), "", G33 * D33)</f>
        <v/>
      </c>
      <c r="I33" s="16">
        <f>IF(ISBLANK(F33), "", F33 * D33)</f>
        <v/>
      </c>
      <c r="J33" s="17">
        <f>IF(ISBLANK(F33), "⏳ Pending", IF(G33=0, "✅ Match", IF(G33&lt;0, "⚠️ Shortage", "🔺 Surplus")))</f>
        <v/>
      </c>
      <c r="K33" s="18" t="inlineStr">
        <is>
          <t>Guava Fruit Tea &amp; Soda</t>
        </is>
      </c>
    </row>
    <row r="34" ht="21" customHeight="1">
      <c r="A34" s="19" t="inlineStr">
        <is>
          <t>SYR-008</t>
        </is>
      </c>
      <c r="B34" s="20" t="inlineStr">
        <is>
          <t>SHOTT Mango Syrup 1L</t>
        </is>
      </c>
      <c r="C34" s="21" t="inlineStr">
        <is>
          <t>Bot (1L)</t>
        </is>
      </c>
      <c r="D34" s="22" t="n">
        <v>890</v>
      </c>
      <c r="E34" s="23" t="n">
        <v>0.25</v>
      </c>
      <c r="F34" s="13" t="n"/>
      <c r="G34" s="24">
        <f>IF(ISBLANK(F34), "", F34 - E34)</f>
        <v/>
      </c>
      <c r="H34" s="25">
        <f>IF(ISBLANK(F34), "", G34 * D34)</f>
        <v/>
      </c>
      <c r="I34" s="26">
        <f>IF(ISBLANK(F34), "", F34 * D34)</f>
        <v/>
      </c>
      <c r="J34" s="27">
        <f>IF(ISBLANK(F34), "⏳ Pending", IF(G34=0, "✅ Match", IF(G34&lt;0, "⚠️ Shortage", "🔺 Surplus")))</f>
        <v/>
      </c>
      <c r="K34" s="28" t="inlineStr">
        <is>
          <t>Mango Tea &amp; Soda</t>
        </is>
      </c>
    </row>
    <row r="35" ht="21" customHeight="1">
      <c r="A35" s="8" t="inlineStr">
        <is>
          <t>SYR-009</t>
        </is>
      </c>
      <c r="B35" s="9" t="inlineStr">
        <is>
          <t>SHOTT Pomegranate Syrup 1L</t>
        </is>
      </c>
      <c r="C35" s="10" t="inlineStr">
        <is>
          <t>Bot (1L)</t>
        </is>
      </c>
      <c r="D35" s="11" t="n">
        <v>890</v>
      </c>
      <c r="E35" s="12" t="n">
        <v>0.37</v>
      </c>
      <c r="F35" s="13" t="n"/>
      <c r="G35" s="14">
        <f>IF(ISBLANK(F35), "", F35 - E35)</f>
        <v/>
      </c>
      <c r="H35" s="15">
        <f>IF(ISBLANK(F35), "", G35 * D35)</f>
        <v/>
      </c>
      <c r="I35" s="16">
        <f>IF(ISBLANK(F35), "", F35 * D35)</f>
        <v/>
      </c>
      <c r="J35" s="17">
        <f>IF(ISBLANK(F35), "⏳ Pending", IF(G35=0, "✅ Match", IF(G35&lt;0, "⚠️ Shortage", "🔺 Surplus")))</f>
        <v/>
      </c>
      <c r="K35" s="18" t="inlineStr">
        <is>
          <t>Pomegranate Tea &amp; Soda</t>
        </is>
      </c>
    </row>
    <row r="36" ht="21" customHeight="1">
      <c r="A36" s="19" t="inlineStr">
        <is>
          <t>SYR-010</t>
        </is>
      </c>
      <c r="B36" s="20" t="inlineStr">
        <is>
          <t>SHOTT Lychee Syrup 1L</t>
        </is>
      </c>
      <c r="C36" s="21" t="inlineStr">
        <is>
          <t>Bot (1L)</t>
        </is>
      </c>
      <c r="D36" s="22" t="n">
        <v>690</v>
      </c>
      <c r="E36" s="23" t="n">
        <v>0.83</v>
      </c>
      <c r="F36" s="13" t="n"/>
      <c r="G36" s="24">
        <f>IF(ISBLANK(F36), "", F36 - E36)</f>
        <v/>
      </c>
      <c r="H36" s="25">
        <f>IF(ISBLANK(F36), "", G36 * D36)</f>
        <v/>
      </c>
      <c r="I36" s="26">
        <f>IF(ISBLANK(F36), "", F36 * D36)</f>
        <v/>
      </c>
      <c r="J36" s="27">
        <f>IF(ISBLANK(F36), "⏳ Pending", IF(G36=0, "✅ Match", IF(G36&lt;0, "⚠️ Shortage", "🔺 Surplus")))</f>
        <v/>
      </c>
      <c r="K36" s="28" t="inlineStr">
        <is>
          <t>Lychee Tea &amp; Soda</t>
        </is>
      </c>
    </row>
    <row r="37" ht="21" customHeight="1">
      <c r="A37" s="8" t="inlineStr">
        <is>
          <t>SYR-011</t>
        </is>
      </c>
      <c r="B37" s="9" t="inlineStr">
        <is>
          <t>Torani Salted Caramel Syrup 750ml</t>
        </is>
      </c>
      <c r="C37" s="10" t="inlineStr">
        <is>
          <t>Bot (750ml)</t>
        </is>
      </c>
      <c r="D37" s="11" t="n">
        <v>550</v>
      </c>
      <c r="E37" s="12" t="n">
        <v>1</v>
      </c>
      <c r="F37" s="13" t="n"/>
      <c r="G37" s="14">
        <f>IF(ISBLANK(F37), "", F37 - E37)</f>
        <v/>
      </c>
      <c r="H37" s="15">
        <f>IF(ISBLANK(F37), "", G37 * D37)</f>
        <v/>
      </c>
      <c r="I37" s="16">
        <f>IF(ISBLANK(F37), "", F37 * D37)</f>
        <v/>
      </c>
      <c r="J37" s="17">
        <f>IF(ISBLANK(F37), "⏳ Pending", IF(G37=0, "✅ Match", IF(G37&lt;0, "⚠️ Shortage", "🔺 Surplus")))</f>
        <v/>
      </c>
      <c r="K37" s="18" t="inlineStr">
        <is>
          <t>Secondary caramel syrup</t>
        </is>
      </c>
    </row>
    <row r="38" ht="21" customHeight="1">
      <c r="A38" s="19" t="inlineStr">
        <is>
          <t>SYR-012</t>
        </is>
      </c>
      <c r="B38" s="20" t="inlineStr">
        <is>
          <t>Torani Macadamia Nut Syrup 750ml</t>
        </is>
      </c>
      <c r="C38" s="21" t="inlineStr">
        <is>
          <t>Bot (750ml)</t>
        </is>
      </c>
      <c r="D38" s="22" t="n">
        <v>550</v>
      </c>
      <c r="E38" s="23" t="n">
        <v>1</v>
      </c>
      <c r="F38" s="13" t="n"/>
      <c r="G38" s="24">
        <f>IF(ISBLANK(F38), "", F38 - E38)</f>
        <v/>
      </c>
      <c r="H38" s="25">
        <f>IF(ISBLANK(F38), "", G38 * D38)</f>
        <v/>
      </c>
      <c r="I38" s="26">
        <f>IF(ISBLANK(F38), "", F38 * D38)</f>
        <v/>
      </c>
      <c r="J38" s="27">
        <f>IF(ISBLANK(F38), "⏳ Pending", IF(G38=0, "✅ Match", IF(G38&lt;0, "⚠️ Shortage", "🔺 Surplus")))</f>
        <v/>
      </c>
      <c r="K38" s="28" t="inlineStr">
        <is>
          <t>Nutty espresso drinks</t>
        </is>
      </c>
    </row>
    <row r="39" ht="21" customHeight="1">
      <c r="A39" s="8" t="inlineStr">
        <is>
          <t>SYR-013</t>
        </is>
      </c>
      <c r="B39" s="9" t="inlineStr">
        <is>
          <t>Torani Lychee Syrup 750ml</t>
        </is>
      </c>
      <c r="C39" s="10" t="inlineStr">
        <is>
          <t>Bot (750ml)</t>
        </is>
      </c>
      <c r="D39" s="11" t="n">
        <v>550</v>
      </c>
      <c r="E39" s="12" t="n">
        <v>1</v>
      </c>
      <c r="F39" s="13" t="n"/>
      <c r="G39" s="14">
        <f>IF(ISBLANK(F39), "", F39 - E39)</f>
        <v/>
      </c>
      <c r="H39" s="15">
        <f>IF(ISBLANK(F39), "", G39 * D39)</f>
        <v/>
      </c>
      <c r="I39" s="16">
        <f>IF(ISBLANK(F39), "", F39 * D39)</f>
        <v/>
      </c>
      <c r="J39" s="17">
        <f>IF(ISBLANK(F39), "⏳ Pending", IF(G39=0, "✅ Match", IF(G39&lt;0, "⚠️ Shortage", "🔺 Surplus")))</f>
        <v/>
      </c>
      <c r="K39" s="18" t="inlineStr">
        <is>
          <t>Fruit soda / iced tea</t>
        </is>
      </c>
    </row>
    <row r="40" ht="21" customHeight="1">
      <c r="A40" s="19" t="inlineStr">
        <is>
          <t>SYR-014</t>
        </is>
      </c>
      <c r="B40" s="20" t="inlineStr">
        <is>
          <t>Torani Pomegranate Syrup 750ml</t>
        </is>
      </c>
      <c r="C40" s="21" t="inlineStr">
        <is>
          <t>Bot (750ml)</t>
        </is>
      </c>
      <c r="D40" s="22" t="n">
        <v>550</v>
      </c>
      <c r="E40" s="23" t="n">
        <v>1</v>
      </c>
      <c r="F40" s="13" t="n"/>
      <c r="G40" s="24">
        <f>IF(ISBLANK(F40), "", F40 - E40)</f>
        <v/>
      </c>
      <c r="H40" s="25">
        <f>IF(ISBLANK(F40), "", G40 * D40)</f>
        <v/>
      </c>
      <c r="I40" s="26">
        <f>IF(ISBLANK(F40), "", F40 * D40)</f>
        <v/>
      </c>
      <c r="J40" s="27">
        <f>IF(ISBLANK(F40), "⏳ Pending", IF(G40=0, "✅ Match", IF(G40&lt;0, "⚠️ Shortage", "🔺 Surplus")))</f>
        <v/>
      </c>
      <c r="K40" s="28" t="inlineStr">
        <is>
          <t>Fruit soda / iced tea</t>
        </is>
      </c>
    </row>
    <row r="41" ht="21" customHeight="1">
      <c r="A41" s="8" t="inlineStr">
        <is>
          <t>SYR-015</t>
        </is>
      </c>
      <c r="B41" s="9" t="inlineStr">
        <is>
          <t>Torani Mango Puree Blend 1.89L</t>
        </is>
      </c>
      <c r="C41" s="10" t="inlineStr">
        <is>
          <t>Gal (1.89L)</t>
        </is>
      </c>
      <c r="D41" s="11" t="n">
        <v>950</v>
      </c>
      <c r="E41" s="12" t="n">
        <v>1</v>
      </c>
      <c r="F41" s="13" t="n"/>
      <c r="G41" s="14">
        <f>IF(ISBLANK(F41), "", F41 - E41)</f>
        <v/>
      </c>
      <c r="H41" s="15">
        <f>IF(ISBLANK(F41), "", G41 * D41)</f>
        <v/>
      </c>
      <c r="I41" s="16">
        <f>IF(ISBLANK(F41), "", F41 * D41)</f>
        <v/>
      </c>
      <c r="J41" s="17">
        <f>IF(ISBLANK(F41), "⏳ Pending", IF(G41=0, "✅ Match", IF(G41&lt;0, "⚠️ Shortage", "🔺 Surplus")))</f>
        <v/>
      </c>
      <c r="K41" s="18" t="inlineStr">
        <is>
          <t>Specialty puree &amp; smoothies</t>
        </is>
      </c>
    </row>
    <row r="42" ht="21" customHeight="1">
      <c r="A42" s="19" t="inlineStr">
        <is>
          <t>SYR-016</t>
        </is>
      </c>
      <c r="B42" s="20" t="inlineStr">
        <is>
          <t>Torani Strawberry Puree Blend 1.89L</t>
        </is>
      </c>
      <c r="C42" s="21" t="inlineStr">
        <is>
          <t>Gal (1.89L)</t>
        </is>
      </c>
      <c r="D42" s="22" t="n">
        <v>950</v>
      </c>
      <c r="E42" s="23" t="n">
        <v>1</v>
      </c>
      <c r="F42" s="13" t="n"/>
      <c r="G42" s="24">
        <f>IF(ISBLANK(F42), "", F42 - E42)</f>
        <v/>
      </c>
      <c r="H42" s="25">
        <f>IF(ISBLANK(F42), "", G42 * D42)</f>
        <v/>
      </c>
      <c r="I42" s="26">
        <f>IF(ISBLANK(F42), "", F42 * D42)</f>
        <v/>
      </c>
      <c r="J42" s="27">
        <f>IF(ISBLANK(F42), "⏳ Pending", IF(G42=0, "✅ Match", IF(G42&lt;0, "⚠️ Shortage", "🔺 Surplus")))</f>
        <v/>
      </c>
      <c r="K42" s="28" t="inlineStr">
        <is>
          <t>Specialty puree &amp; smoothies</t>
        </is>
      </c>
    </row>
    <row r="43" ht="21" customHeight="1">
      <c r="A43" s="8" t="inlineStr">
        <is>
          <t>SYR-017</t>
        </is>
      </c>
      <c r="B43" s="9" t="inlineStr">
        <is>
          <t>French Vanilla Syrup 750ml</t>
        </is>
      </c>
      <c r="C43" s="10" t="inlineStr">
        <is>
          <t>Bot (750ml)</t>
        </is>
      </c>
      <c r="D43" s="11" t="n">
        <v>550</v>
      </c>
      <c r="E43" s="12" t="n">
        <v>1</v>
      </c>
      <c r="F43" s="13" t="n"/>
      <c r="G43" s="14">
        <f>IF(ISBLANK(F43), "", F43 - E43)</f>
        <v/>
      </c>
      <c r="H43" s="15">
        <f>IF(ISBLANK(F43), "", G43 * D43)</f>
        <v/>
      </c>
      <c r="I43" s="16">
        <f>IF(ISBLANK(F43), "", F43 * D43)</f>
        <v/>
      </c>
      <c r="J43" s="17">
        <f>IF(ISBLANK(F43), "⏳ Pending", IF(G43=0, "✅ Match", IF(G43&lt;0, "⚠️ Shortage", "🔺 Surplus")))</f>
        <v/>
      </c>
      <c r="K43" s="18" t="inlineStr">
        <is>
          <t>French Vanilla Coffee</t>
        </is>
      </c>
    </row>
    <row r="44" ht="21" customHeight="1">
      <c r="A44" s="19" t="inlineStr">
        <is>
          <t>SYR-018</t>
        </is>
      </c>
      <c r="B44" s="20" t="inlineStr">
        <is>
          <t>Hazelnut Syrup 750ml</t>
        </is>
      </c>
      <c r="C44" s="21" t="inlineStr">
        <is>
          <t>Bot (750ml)</t>
        </is>
      </c>
      <c r="D44" s="22" t="n">
        <v>550</v>
      </c>
      <c r="E44" s="23" t="n">
        <v>1</v>
      </c>
      <c r="F44" s="13" t="n"/>
      <c r="G44" s="24">
        <f>IF(ISBLANK(F44), "", F44 - E44)</f>
        <v/>
      </c>
      <c r="H44" s="25">
        <f>IF(ISBLANK(F44), "", G44 * D44)</f>
        <v/>
      </c>
      <c r="I44" s="26">
        <f>IF(ISBLANK(F44), "", F44 * D44)</f>
        <v/>
      </c>
      <c r="J44" s="27">
        <f>IF(ISBLANK(F44), "⏳ Pending", IF(G44=0, "✅ Match", IF(G44&lt;0, "⚠️ Shortage", "🔺 Surplus")))</f>
        <v/>
      </c>
      <c r="K44" s="28" t="inlineStr">
        <is>
          <t>Hazelnut Latte</t>
        </is>
      </c>
    </row>
    <row r="45" ht="21" customHeight="1">
      <c r="A45" s="8" t="inlineStr">
        <is>
          <t>SYR-019</t>
        </is>
      </c>
      <c r="B45" s="9" t="inlineStr">
        <is>
          <t>Irish Cream Syrup 750ml</t>
        </is>
      </c>
      <c r="C45" s="10" t="inlineStr">
        <is>
          <t>Bot (750ml)</t>
        </is>
      </c>
      <c r="D45" s="11" t="n">
        <v>550</v>
      </c>
      <c r="E45" s="12" t="n">
        <v>1</v>
      </c>
      <c r="F45" s="13" t="n"/>
      <c r="G45" s="14">
        <f>IF(ISBLANK(F45), "", F45 - E45)</f>
        <v/>
      </c>
      <c r="H45" s="15">
        <f>IF(ISBLANK(F45), "", G45 * D45)</f>
        <v/>
      </c>
      <c r="I45" s="16">
        <f>IF(ISBLANK(F45), "", F45 * D45)</f>
        <v/>
      </c>
      <c r="J45" s="17">
        <f>IF(ISBLANK(F45), "⏳ Pending", IF(G45=0, "✅ Match", IF(G45&lt;0, "⚠️ Shortage", "🔺 Surplus")))</f>
        <v/>
      </c>
      <c r="K45" s="18" t="inlineStr">
        <is>
          <t>Specialty flavor</t>
        </is>
      </c>
    </row>
    <row r="46" ht="22" customHeight="1">
      <c r="A46" s="29" t="inlineStr">
        <is>
          <t>Subtotal — Flavor Syrups, Purées &amp; Sauces:</t>
        </is>
      </c>
      <c r="B46" s="30" t="n"/>
      <c r="C46" s="30" t="n"/>
      <c r="D46" s="30" t="inlineStr"/>
      <c r="E46" s="31">
        <f>SUM(E27:E45)</f>
        <v/>
      </c>
      <c r="F46" s="31">
        <f>SUM(F27:F45)</f>
        <v/>
      </c>
      <c r="G46" s="32">
        <f>SUM(G27:G45)</f>
        <v/>
      </c>
      <c r="H46" s="33">
        <f>SUM(H27:H45)</f>
        <v/>
      </c>
      <c r="I46" s="34">
        <f>SUM(I27:I45)</f>
        <v/>
      </c>
      <c r="J46" s="30" t="inlineStr"/>
      <c r="K46" s="30" t="inlineStr"/>
    </row>
    <row r="48" ht="24" customHeight="1">
      <c r="A48" s="37" t="inlineStr">
        <is>
          <t xml:space="preserve">  🍵  4. MATCHA &amp; SPECIALTY TEAS</t>
        </is>
      </c>
    </row>
    <row r="49" ht="21" customHeight="1">
      <c r="A49" s="8" t="inlineStr">
        <is>
          <t>TEA-001</t>
        </is>
      </c>
      <c r="B49" s="9" t="inlineStr">
        <is>
          <t>Matcha Powder 1kg (Culinary Grade)</t>
        </is>
      </c>
      <c r="C49" s="10" t="inlineStr">
        <is>
          <t>Pack (1kg)</t>
        </is>
      </c>
      <c r="D49" s="11" t="n">
        <v>1200</v>
      </c>
      <c r="E49" s="12" t="n">
        <v>0.87</v>
      </c>
      <c r="F49" s="13" t="n"/>
      <c r="G49" s="14">
        <f>IF(ISBLANK(F49), "", F49 - E49)</f>
        <v/>
      </c>
      <c r="H49" s="15">
        <f>IF(ISBLANK(F49), "", G49 * D49)</f>
        <v/>
      </c>
      <c r="I49" s="16">
        <f>IF(ISBLANK(F49), "", F49 * D49)</f>
        <v/>
      </c>
      <c r="J49" s="17">
        <f>IF(ISBLANK(F49), "⏳ Pending", IF(G49=0, "✅ Match", IF(G49&lt;0, "⚠️ Shortage", "🔺 Surplus")))</f>
        <v/>
      </c>
      <c r="K49" s="18" t="inlineStr">
        <is>
          <t>Matcha Latte &amp; Seasalt</t>
        </is>
      </c>
    </row>
    <row r="50" ht="21" customHeight="1">
      <c r="A50" s="19" t="inlineStr">
        <is>
          <t>TEA-002</t>
        </is>
      </c>
      <c r="B50" s="20" t="inlineStr">
        <is>
          <t>Easy Matcha Pure Powder 100g</t>
        </is>
      </c>
      <c r="C50" s="21" t="inlineStr">
        <is>
          <t>Pack (100g)</t>
        </is>
      </c>
      <c r="D50" s="22" t="n">
        <v>210</v>
      </c>
      <c r="E50" s="23" t="n">
        <v>3</v>
      </c>
      <c r="F50" s="13" t="n"/>
      <c r="G50" s="24">
        <f>IF(ISBLANK(F50), "", F50 - E50)</f>
        <v/>
      </c>
      <c r="H50" s="25">
        <f>IF(ISBLANK(F50), "", G50 * D50)</f>
        <v/>
      </c>
      <c r="I50" s="26">
        <f>IF(ISBLANK(F50), "", F50 * D50)</f>
        <v/>
      </c>
      <c r="J50" s="27">
        <f>IF(ISBLANK(F50), "⏳ Pending", IF(G50=0, "✅ Match", IF(G50&lt;0, "⚠️ Shortage", "🔺 Surplus")))</f>
        <v/>
      </c>
      <c r="K50" s="28" t="inlineStr">
        <is>
          <t>Ceremonial / pure grade</t>
        </is>
      </c>
    </row>
    <row r="51" ht="21" customHeight="1">
      <c r="A51" s="8" t="inlineStr">
        <is>
          <t>TEA-003</t>
        </is>
      </c>
      <c r="B51" s="9" t="inlineStr">
        <is>
          <t>Possmei Jasmine Green Tea Leaves 600g</t>
        </is>
      </c>
      <c r="C51" s="10" t="inlineStr">
        <is>
          <t>Pack (600g)</t>
        </is>
      </c>
      <c r="D51" s="11" t="n">
        <v>768</v>
      </c>
      <c r="E51" s="12" t="n">
        <v>1</v>
      </c>
      <c r="F51" s="13" t="n"/>
      <c r="G51" s="14">
        <f>IF(ISBLANK(F51), "", F51 - E51)</f>
        <v/>
      </c>
      <c r="H51" s="15">
        <f>IF(ISBLANK(F51), "", G51 * D51)</f>
        <v/>
      </c>
      <c r="I51" s="16">
        <f>IF(ISBLANK(F51), "", F51 * D51)</f>
        <v/>
      </c>
      <c r="J51" s="17">
        <f>IF(ISBLANK(F51), "⏳ Pending", IF(G51=0, "✅ Match", IF(G51&lt;0, "⚠️ Shortage", "🔺 Surplus")))</f>
        <v/>
      </c>
      <c r="K51" s="18" t="inlineStr">
        <is>
          <t>Premium tea brewing</t>
        </is>
      </c>
    </row>
    <row r="52" ht="21" customHeight="1">
      <c r="A52" s="19" t="inlineStr">
        <is>
          <t>TEA-004</t>
        </is>
      </c>
      <c r="B52" s="20" t="inlineStr">
        <is>
          <t>Possmei Assam Black Tea Leaves 600g</t>
        </is>
      </c>
      <c r="C52" s="21" t="inlineStr">
        <is>
          <t>Pack (600g)</t>
        </is>
      </c>
      <c r="D52" s="22" t="n">
        <v>440</v>
      </c>
      <c r="E52" s="23" t="n">
        <v>1</v>
      </c>
      <c r="F52" s="13" t="n"/>
      <c r="G52" s="24">
        <f>IF(ISBLANK(F52), "", F52 - E52)</f>
        <v/>
      </c>
      <c r="H52" s="25">
        <f>IF(ISBLANK(F52), "", G52 * D52)</f>
        <v/>
      </c>
      <c r="I52" s="26">
        <f>IF(ISBLANK(F52), "", F52 * D52)</f>
        <v/>
      </c>
      <c r="J52" s="27">
        <f>IF(ISBLANK(F52), "⏳ Pending", IF(G52=0, "✅ Match", IF(G52&lt;0, "⚠️ Shortage", "🔺 Surplus")))</f>
        <v/>
      </c>
      <c r="K52" s="28" t="inlineStr">
        <is>
          <t>Premium black tea brewing</t>
        </is>
      </c>
    </row>
    <row r="53" ht="21" customHeight="1">
      <c r="A53" s="8" t="inlineStr">
        <is>
          <t>TEA-005</t>
        </is>
      </c>
      <c r="B53" s="9" t="inlineStr">
        <is>
          <t>Jasmine Tea Leaves 1kg</t>
        </is>
      </c>
      <c r="C53" s="10" t="inlineStr">
        <is>
          <t>Pack (1kg)</t>
        </is>
      </c>
      <c r="D53" s="11" t="n">
        <v>400</v>
      </c>
      <c r="E53" s="12" t="n">
        <v>0.92</v>
      </c>
      <c r="F53" s="13" t="n"/>
      <c r="G53" s="14">
        <f>IF(ISBLANK(F53), "", F53 - E53)</f>
        <v/>
      </c>
      <c r="H53" s="15">
        <f>IF(ISBLANK(F53), "", G53 * D53)</f>
        <v/>
      </c>
      <c r="I53" s="16">
        <f>IF(ISBLANK(F53), "", F53 * D53)</f>
        <v/>
      </c>
      <c r="J53" s="17">
        <f>IF(ISBLANK(F53), "⏳ Pending", IF(G53=0, "✅ Match", IF(G53&lt;0, "⚠️ Shortage", "🔺 Surplus")))</f>
        <v/>
      </c>
      <c r="K53" s="18" t="inlineStr">
        <is>
          <t>Bulk brewed jasmine tea</t>
        </is>
      </c>
    </row>
    <row r="54" ht="21" customHeight="1">
      <c r="A54" s="19" t="inlineStr">
        <is>
          <t>TEA-006</t>
        </is>
      </c>
      <c r="B54" s="20" t="inlineStr">
        <is>
          <t>Black Tea Leaves 1kg</t>
        </is>
      </c>
      <c r="C54" s="21" t="inlineStr">
        <is>
          <t>Pack (1kg)</t>
        </is>
      </c>
      <c r="D54" s="22" t="n">
        <v>400</v>
      </c>
      <c r="E54" s="23" t="n">
        <v>0.98</v>
      </c>
      <c r="F54" s="13" t="n"/>
      <c r="G54" s="24">
        <f>IF(ISBLANK(F54), "", F54 - E54)</f>
        <v/>
      </c>
      <c r="H54" s="25">
        <f>IF(ISBLANK(F54), "", G54 * D54)</f>
        <v/>
      </c>
      <c r="I54" s="26">
        <f>IF(ISBLANK(F54), "", F54 * D54)</f>
        <v/>
      </c>
      <c r="J54" s="27">
        <f>IF(ISBLANK(F54), "⏳ Pending", IF(G54=0, "✅ Match", IF(G54&lt;0, "⚠️ Shortage", "🔺 Surplus")))</f>
        <v/>
      </c>
      <c r="K54" s="28" t="inlineStr">
        <is>
          <t>Bulk brewed black tea</t>
        </is>
      </c>
    </row>
    <row r="55" ht="21" customHeight="1">
      <c r="A55" s="8" t="inlineStr">
        <is>
          <t>TEA-007</t>
        </is>
      </c>
      <c r="B55" s="9" t="inlineStr">
        <is>
          <t>Dilmah Earl Grey Tea Bags</t>
        </is>
      </c>
      <c r="C55" s="10" t="inlineStr">
        <is>
          <t>Bag / Sachet</t>
        </is>
      </c>
      <c r="D55" s="11" t="n">
        <v>45</v>
      </c>
      <c r="E55" s="12" t="n">
        <v>91</v>
      </c>
      <c r="F55" s="13" t="n"/>
      <c r="G55" s="14">
        <f>IF(ISBLANK(F55), "", F55 - E55)</f>
        <v/>
      </c>
      <c r="H55" s="15">
        <f>IF(ISBLANK(F55), "", G55 * D55)</f>
        <v/>
      </c>
      <c r="I55" s="16">
        <f>IF(ISBLANK(F55), "", F55 * D55)</f>
        <v/>
      </c>
      <c r="J55" s="17">
        <f>IF(ISBLANK(F55), "⏳ Pending", IF(G55=0, "✅ Match", IF(G55&lt;0, "⚠️ Shortage", "🔺 Surplus")))</f>
        <v/>
      </c>
      <c r="K55" s="18" t="inlineStr">
        <is>
          <t>Hot brewed specialty tea</t>
        </is>
      </c>
    </row>
    <row r="56" ht="21" customHeight="1">
      <c r="A56" s="19" t="inlineStr">
        <is>
          <t>TEA-008</t>
        </is>
      </c>
      <c r="B56" s="20" t="inlineStr">
        <is>
          <t>Dilmah Gourmet Green Tea Bags</t>
        </is>
      </c>
      <c r="C56" s="21" t="inlineStr">
        <is>
          <t>Bag / Sachet</t>
        </is>
      </c>
      <c r="D56" s="22" t="n">
        <v>45</v>
      </c>
      <c r="E56" s="23" t="n">
        <v>100</v>
      </c>
      <c r="F56" s="13" t="n"/>
      <c r="G56" s="24">
        <f>IF(ISBLANK(F56), "", F56 - E56)</f>
        <v/>
      </c>
      <c r="H56" s="25">
        <f>IF(ISBLANK(F56), "", G56 * D56)</f>
        <v/>
      </c>
      <c r="I56" s="26">
        <f>IF(ISBLANK(F56), "", F56 * D56)</f>
        <v/>
      </c>
      <c r="J56" s="27">
        <f>IF(ISBLANK(F56), "⏳ Pending", IF(G56=0, "✅ Match", IF(G56&lt;0, "⚠️ Shortage", "🔺 Surplus")))</f>
        <v/>
      </c>
      <c r="K56" s="28" t="inlineStr">
        <is>
          <t>Hot brewed specialty tea</t>
        </is>
      </c>
    </row>
    <row r="57" ht="21" customHeight="1">
      <c r="A57" s="8" t="inlineStr">
        <is>
          <t>TEA-009</t>
        </is>
      </c>
      <c r="B57" s="9" t="inlineStr">
        <is>
          <t>Dilmah Green Tea with Jasmine Bags</t>
        </is>
      </c>
      <c r="C57" s="10" t="inlineStr">
        <is>
          <t>Bag / Sachet</t>
        </is>
      </c>
      <c r="D57" s="11" t="n">
        <v>45</v>
      </c>
      <c r="E57" s="12" t="n">
        <v>100</v>
      </c>
      <c r="F57" s="13" t="n"/>
      <c r="G57" s="14">
        <f>IF(ISBLANK(F57), "", F57 - E57)</f>
        <v/>
      </c>
      <c r="H57" s="15">
        <f>IF(ISBLANK(F57), "", G57 * D57)</f>
        <v/>
      </c>
      <c r="I57" s="16">
        <f>IF(ISBLANK(F57), "", F57 * D57)</f>
        <v/>
      </c>
      <c r="J57" s="17">
        <f>IF(ISBLANK(F57), "⏳ Pending", IF(G57=0, "✅ Match", IF(G57&lt;0, "⚠️ Shortage", "🔺 Surplus")))</f>
        <v/>
      </c>
      <c r="K57" s="18" t="inlineStr">
        <is>
          <t>Hot brewed specialty tea</t>
        </is>
      </c>
    </row>
    <row r="58" ht="21" customHeight="1">
      <c r="A58" s="19" t="inlineStr">
        <is>
          <t>TEA-010</t>
        </is>
      </c>
      <c r="B58" s="20" t="inlineStr">
        <is>
          <t>Dilmah Pure Camomile Flowers Bags</t>
        </is>
      </c>
      <c r="C58" s="21" t="inlineStr">
        <is>
          <t>Bag / Sachet</t>
        </is>
      </c>
      <c r="D58" s="22" t="n">
        <v>45</v>
      </c>
      <c r="E58" s="23" t="n">
        <v>100</v>
      </c>
      <c r="F58" s="13" t="n"/>
      <c r="G58" s="24">
        <f>IF(ISBLANK(F58), "", F58 - E58)</f>
        <v/>
      </c>
      <c r="H58" s="25">
        <f>IF(ISBLANK(F58), "", G58 * D58)</f>
        <v/>
      </c>
      <c r="I58" s="26">
        <f>IF(ISBLANK(F58), "", F58 * D58)</f>
        <v/>
      </c>
      <c r="J58" s="27">
        <f>IF(ISBLANK(F58), "⏳ Pending", IF(G58=0, "✅ Match", IF(G58&lt;0, "⚠️ Shortage", "🔺 Surplus")))</f>
        <v/>
      </c>
      <c r="K58" s="28" t="inlineStr">
        <is>
          <t>Hot brewed herbal tea</t>
        </is>
      </c>
    </row>
    <row r="59" ht="21" customHeight="1">
      <c r="A59" s="8" t="inlineStr">
        <is>
          <t>TEA-011</t>
        </is>
      </c>
      <c r="B59" s="9" t="inlineStr">
        <is>
          <t>Dilmah Pure Peppermint Leaves Bags</t>
        </is>
      </c>
      <c r="C59" s="10" t="inlineStr">
        <is>
          <t>Bag / Sachet</t>
        </is>
      </c>
      <c r="D59" s="11" t="n">
        <v>45</v>
      </c>
      <c r="E59" s="12" t="n">
        <v>98</v>
      </c>
      <c r="F59" s="13" t="n"/>
      <c r="G59" s="14">
        <f>IF(ISBLANK(F59), "", F59 - E59)</f>
        <v/>
      </c>
      <c r="H59" s="15">
        <f>IF(ISBLANK(F59), "", G59 * D59)</f>
        <v/>
      </c>
      <c r="I59" s="16">
        <f>IF(ISBLANK(F59), "", F59 * D59)</f>
        <v/>
      </c>
      <c r="J59" s="17">
        <f>IF(ISBLANK(F59), "⏳ Pending", IF(G59=0, "✅ Match", IF(G59&lt;0, "⚠️ Shortage", "🔺 Surplus")))</f>
        <v/>
      </c>
      <c r="K59" s="18" t="inlineStr">
        <is>
          <t>Hot brewed herbal tea</t>
        </is>
      </c>
    </row>
    <row r="60" ht="21" customHeight="1">
      <c r="A60" s="19" t="inlineStr">
        <is>
          <t>TEA-012</t>
        </is>
      </c>
      <c r="B60" s="20" t="inlineStr">
        <is>
          <t>Dilmah Traditional Oolong Tea Bags</t>
        </is>
      </c>
      <c r="C60" s="21" t="inlineStr">
        <is>
          <t>Bag / Sachet</t>
        </is>
      </c>
      <c r="D60" s="22" t="n">
        <v>45</v>
      </c>
      <c r="E60" s="23" t="n">
        <v>100</v>
      </c>
      <c r="F60" s="13" t="n"/>
      <c r="G60" s="24">
        <f>IF(ISBLANK(F60), "", F60 - E60)</f>
        <v/>
      </c>
      <c r="H60" s="25">
        <f>IF(ISBLANK(F60), "", G60 * D60)</f>
        <v/>
      </c>
      <c r="I60" s="26">
        <f>IF(ISBLANK(F60), "", F60 * D60)</f>
        <v/>
      </c>
      <c r="J60" s="27">
        <f>IF(ISBLANK(F60), "⏳ Pending", IF(G60=0, "✅ Match", IF(G60&lt;0, "⚠️ Shortage", "🔺 Surplus")))</f>
        <v/>
      </c>
      <c r="K60" s="28" t="inlineStr">
        <is>
          <t>Hot brewed specialty tea</t>
        </is>
      </c>
    </row>
    <row r="61" ht="22" customHeight="1">
      <c r="A61" s="29" t="inlineStr">
        <is>
          <t>Subtotal — Matcha &amp; Specialty Teas:</t>
        </is>
      </c>
      <c r="B61" s="30" t="n"/>
      <c r="C61" s="30" t="n"/>
      <c r="D61" s="30" t="inlineStr"/>
      <c r="E61" s="31">
        <f>SUM(E49:E60)</f>
        <v/>
      </c>
      <c r="F61" s="31">
        <f>SUM(F49:F60)</f>
        <v/>
      </c>
      <c r="G61" s="32">
        <f>SUM(G49:G60)</f>
        <v/>
      </c>
      <c r="H61" s="33">
        <f>SUM(H49:H60)</f>
        <v/>
      </c>
      <c r="I61" s="34">
        <f>SUM(I49:I60)</f>
        <v/>
      </c>
      <c r="J61" s="30" t="inlineStr"/>
      <c r="K61" s="30" t="inlineStr"/>
    </row>
    <row r="63" ht="24" customHeight="1">
      <c r="A63" s="38" t="inlineStr">
        <is>
          <t xml:space="preserve">  🍬  5. SWEETENERS, TOPPINGS &amp; MIXERS</t>
        </is>
      </c>
    </row>
    <row r="64" ht="21" customHeight="1">
      <c r="A64" s="8" t="inlineStr">
        <is>
          <t>SWT-001</t>
        </is>
      </c>
      <c r="B64" s="9" t="inlineStr">
        <is>
          <t>Hi-Fructose Corn Syrup 500ml</t>
        </is>
      </c>
      <c r="C64" s="10" t="inlineStr">
        <is>
          <t>Bot (500ml)</t>
        </is>
      </c>
      <c r="D64" s="11" t="n">
        <v>94</v>
      </c>
      <c r="E64" s="12" t="n">
        <v>10</v>
      </c>
      <c r="F64" s="13" t="n"/>
      <c r="G64" s="14">
        <f>IF(ISBLANK(F64), "", F64 - E64)</f>
        <v/>
      </c>
      <c r="H64" s="15">
        <f>IF(ISBLANK(F64), "", G64 * D64)</f>
        <v/>
      </c>
      <c r="I64" s="16">
        <f>IF(ISBLANK(F64), "", F64 * D64)</f>
        <v/>
      </c>
      <c r="J64" s="17">
        <f>IF(ISBLANK(F64), "⏳ Pending", IF(G64=0, "✅ Match", IF(G64&lt;0, "⚠️ Shortage", "🔺 Surplus")))</f>
        <v/>
      </c>
      <c r="K64" s="18" t="inlineStr">
        <is>
          <t>Primary liquid sweetener</t>
        </is>
      </c>
    </row>
    <row r="65" ht="21" customHeight="1">
      <c r="A65" s="19" t="inlineStr">
        <is>
          <t>SWT-002</t>
        </is>
      </c>
      <c r="B65" s="20" t="inlineStr">
        <is>
          <t>Refined White Sugar 1kg</t>
        </is>
      </c>
      <c r="C65" s="21" t="inlineStr">
        <is>
          <t>Pack (1kg)</t>
        </is>
      </c>
      <c r="D65" s="22" t="n">
        <v>80</v>
      </c>
      <c r="E65" s="23" t="n">
        <v>1</v>
      </c>
      <c r="F65" s="13" t="n"/>
      <c r="G65" s="24">
        <f>IF(ISBLANK(F65), "", F65 - E65)</f>
        <v/>
      </c>
      <c r="H65" s="25">
        <f>IF(ISBLANK(F65), "", G65 * D65)</f>
        <v/>
      </c>
      <c r="I65" s="26">
        <f>IF(ISBLANK(F65), "", F65 * D65)</f>
        <v/>
      </c>
      <c r="J65" s="27">
        <f>IF(ISBLANK(F65), "⏳ Pending", IF(G65=0, "✅ Match", IF(G65&lt;0, "⚠️ Shortage", "🔺 Surplus")))</f>
        <v/>
      </c>
      <c r="K65" s="28" t="inlineStr">
        <is>
          <t>Syrup prep &amp; table sugar</t>
        </is>
      </c>
    </row>
    <row r="66" ht="21" customHeight="1">
      <c r="A66" s="8" t="inlineStr">
        <is>
          <t>SWT-003</t>
        </is>
      </c>
      <c r="B66" s="9" t="inlineStr">
        <is>
          <t>Equal Sweetener Sachets (Box of 50s)</t>
        </is>
      </c>
      <c r="C66" s="10" t="inlineStr">
        <is>
          <t>Pack (50s)</t>
        </is>
      </c>
      <c r="D66" s="11" t="n">
        <v>167.5</v>
      </c>
      <c r="E66" s="12" t="n">
        <v>1</v>
      </c>
      <c r="F66" s="13" t="n"/>
      <c r="G66" s="14">
        <f>IF(ISBLANK(F66), "", F66 - E66)</f>
        <v/>
      </c>
      <c r="H66" s="15">
        <f>IF(ISBLANK(F66), "", G66 * D66)</f>
        <v/>
      </c>
      <c r="I66" s="16">
        <f>IF(ISBLANK(F66), "", F66 * D66)</f>
        <v/>
      </c>
      <c r="J66" s="17">
        <f>IF(ISBLANK(F66), "⏳ Pending", IF(G66=0, "✅ Match", IF(G66&lt;0, "⚠️ Shortage", "🔺 Surplus")))</f>
        <v/>
      </c>
      <c r="K66" s="18" t="inlineStr">
        <is>
          <t>Low calorie option</t>
        </is>
      </c>
    </row>
    <row r="67" ht="21" customHeight="1">
      <c r="A67" s="19" t="inlineStr">
        <is>
          <t>SWT-004</t>
        </is>
      </c>
      <c r="B67" s="20" t="inlineStr">
        <is>
          <t>Lotus Biscoff Spread Smooth 400g</t>
        </is>
      </c>
      <c r="C67" s="21" t="inlineStr">
        <is>
          <t>Jar (400g)</t>
        </is>
      </c>
      <c r="D67" s="22" t="n">
        <v>345</v>
      </c>
      <c r="E67" s="23" t="n">
        <v>1</v>
      </c>
      <c r="F67" s="13" t="n"/>
      <c r="G67" s="24">
        <f>IF(ISBLANK(F67), "", F67 - E67)</f>
        <v/>
      </c>
      <c r="H67" s="25">
        <f>IF(ISBLANK(F67), "", G67 * D67)</f>
        <v/>
      </c>
      <c r="I67" s="26">
        <f>IF(ISBLANK(F67), "", F67 * D67)</f>
        <v/>
      </c>
      <c r="J67" s="27">
        <f>IF(ISBLANK(F67), "⏳ Pending", IF(G67=0, "✅ Match", IF(G67&lt;0, "⚠️ Shortage", "🔺 Surplus")))</f>
        <v/>
      </c>
      <c r="K67" s="28" t="inlineStr">
        <is>
          <t>Biscoff series drinks</t>
        </is>
      </c>
    </row>
    <row r="68" ht="21" customHeight="1">
      <c r="A68" s="8" t="inlineStr">
        <is>
          <t>SWT-005</t>
        </is>
      </c>
      <c r="B68" s="9" t="inlineStr">
        <is>
          <t>Lotus Biscoff Biscuits (Pack 250g)</t>
        </is>
      </c>
      <c r="C68" s="10" t="inlineStr">
        <is>
          <t>Pack (250g)</t>
        </is>
      </c>
      <c r="D68" s="11" t="n">
        <v>192</v>
      </c>
      <c r="E68" s="12" t="n">
        <v>1</v>
      </c>
      <c r="F68" s="13" t="n"/>
      <c r="G68" s="14">
        <f>IF(ISBLANK(F68), "", F68 - E68)</f>
        <v/>
      </c>
      <c r="H68" s="15">
        <f>IF(ISBLANK(F68), "", G68 * D68)</f>
        <v/>
      </c>
      <c r="I68" s="16">
        <f>IF(ISBLANK(F68), "", F68 * D68)</f>
        <v/>
      </c>
      <c r="J68" s="17">
        <f>IF(ISBLANK(F68), "⏳ Pending", IF(G68=0, "✅ Match", IF(G68&lt;0, "⚠️ Shortage", "🔺 Surplus")))</f>
        <v/>
      </c>
      <c r="K68" s="18" t="inlineStr">
        <is>
          <t>Garnish &amp; drink topping</t>
        </is>
      </c>
    </row>
    <row r="69" ht="21" customHeight="1">
      <c r="A69" s="19" t="inlineStr">
        <is>
          <t>SWT-006</t>
        </is>
      </c>
      <c r="B69" s="20" t="inlineStr">
        <is>
          <t>Oreo Biscuit Crumbs 454g</t>
        </is>
      </c>
      <c r="C69" s="21" t="inlineStr">
        <is>
          <t>Pack (454g)</t>
        </is>
      </c>
      <c r="D69" s="22" t="n">
        <v>175</v>
      </c>
      <c r="E69" s="23" t="n">
        <v>1</v>
      </c>
      <c r="F69" s="13" t="n"/>
      <c r="G69" s="24">
        <f>IF(ISBLANK(F69), "", F69 - E69)</f>
        <v/>
      </c>
      <c r="H69" s="25">
        <f>IF(ISBLANK(F69), "", G69 * D69)</f>
        <v/>
      </c>
      <c r="I69" s="26">
        <f>IF(ISBLANK(F69), "", F69 * D69)</f>
        <v/>
      </c>
      <c r="J69" s="27">
        <f>IF(ISBLANK(F69), "⏳ Pending", IF(G69=0, "✅ Match", IF(G69&lt;0, "⚠️ Shortage", "🔺 Surplus")))</f>
        <v/>
      </c>
      <c r="K69" s="28" t="inlineStr">
        <is>
          <t>Dirty Oreo &amp; blended drinks</t>
        </is>
      </c>
    </row>
    <row r="70" ht="21" customHeight="1">
      <c r="A70" s="8" t="inlineStr">
        <is>
          <t>SWT-007</t>
        </is>
      </c>
      <c r="B70" s="9" t="inlineStr">
        <is>
          <t>Sprite 1.5L (Beverage Mixer)</t>
        </is>
      </c>
      <c r="C70" s="10" t="inlineStr">
        <is>
          <t>Bot (1.5L)</t>
        </is>
      </c>
      <c r="D70" s="11" t="n">
        <v>69.5</v>
      </c>
      <c r="E70" s="12" t="n">
        <v>4</v>
      </c>
      <c r="F70" s="13" t="n"/>
      <c r="G70" s="14">
        <f>IF(ISBLANK(F70), "", F70 - E70)</f>
        <v/>
      </c>
      <c r="H70" s="15">
        <f>IF(ISBLANK(F70), "", G70 * D70)</f>
        <v/>
      </c>
      <c r="I70" s="16">
        <f>IF(ISBLANK(F70), "", F70 * D70)</f>
        <v/>
      </c>
      <c r="J70" s="17">
        <f>IF(ISBLANK(F70), "⏳ Pending", IF(G70=0, "✅ Match", IF(G70&lt;0, "⚠️ Shortage", "🔺 Surplus")))</f>
        <v/>
      </c>
      <c r="K70" s="18" t="inlineStr">
        <is>
          <t>Base for Fruit Soda series</t>
        </is>
      </c>
    </row>
    <row r="71" ht="21" customHeight="1">
      <c r="A71" s="19" t="inlineStr">
        <is>
          <t>SWT-008</t>
        </is>
      </c>
      <c r="B71" s="20" t="inlineStr">
        <is>
          <t>Fresh Lemon Fruit</t>
        </is>
      </c>
      <c r="C71" s="21" t="inlineStr">
        <is>
          <t>Pieces</t>
        </is>
      </c>
      <c r="D71" s="22" t="n">
        <v>15</v>
      </c>
      <c r="E71" s="23" t="n">
        <v>42</v>
      </c>
      <c r="F71" s="13" t="n"/>
      <c r="G71" s="24">
        <f>IF(ISBLANK(F71), "", F71 - E71)</f>
        <v/>
      </c>
      <c r="H71" s="25">
        <f>IF(ISBLANK(F71), "", G71 * D71)</f>
        <v/>
      </c>
      <c r="I71" s="26">
        <f>IF(ISBLANK(F71), "", F71 * D71)</f>
        <v/>
      </c>
      <c r="J71" s="27">
        <f>IF(ISBLANK(F71), "⏳ Pending", IF(G71=0, "✅ Match", IF(G71&lt;0, "⚠️ Shortage", "🔺 Surplus")))</f>
        <v/>
      </c>
      <c r="K71" s="28" t="inlineStr">
        <is>
          <t>Garnish &amp; fresh lemon drinks</t>
        </is>
      </c>
    </row>
    <row r="72" ht="22" customHeight="1">
      <c r="A72" s="29" t="inlineStr">
        <is>
          <t>Subtotal — Sweeteners, Toppings &amp; Mixers:</t>
        </is>
      </c>
      <c r="B72" s="30" t="n"/>
      <c r="C72" s="30" t="n"/>
      <c r="D72" s="30" t="inlineStr"/>
      <c r="E72" s="31">
        <f>SUM(E64:E71)</f>
        <v/>
      </c>
      <c r="F72" s="31">
        <f>SUM(F64:F71)</f>
        <v/>
      </c>
      <c r="G72" s="32">
        <f>SUM(G64:G71)</f>
        <v/>
      </c>
      <c r="H72" s="33">
        <f>SUM(H64:H71)</f>
        <v/>
      </c>
      <c r="I72" s="34">
        <f>SUM(I64:I71)</f>
        <v/>
      </c>
      <c r="J72" s="30" t="inlineStr"/>
      <c r="K72" s="30" t="inlineStr"/>
    </row>
    <row r="74" ht="24" customHeight="1">
      <c r="A74" s="39" t="inlineStr">
        <is>
          <t xml:space="preserve">  🥤  6. RETAIL BOTTLED BEVERAGES &amp; BEERS</t>
        </is>
      </c>
    </row>
    <row r="75" ht="21" customHeight="1">
      <c r="A75" s="8" t="inlineStr">
        <is>
          <t>RET-001</t>
        </is>
      </c>
      <c r="B75" s="9" t="inlineStr">
        <is>
          <t>Nature Spring Mineral Water 500ml</t>
        </is>
      </c>
      <c r="C75" s="10" t="inlineStr">
        <is>
          <t>Bot (500ml)</t>
        </is>
      </c>
      <c r="D75" s="11" t="n">
        <v>12</v>
      </c>
      <c r="E75" s="12" t="n">
        <v>50</v>
      </c>
      <c r="F75" s="13" t="n"/>
      <c r="G75" s="14">
        <f>IF(ISBLANK(F75), "", F75 - E75)</f>
        <v/>
      </c>
      <c r="H75" s="15">
        <f>IF(ISBLANK(F75), "", G75 * D75)</f>
        <v/>
      </c>
      <c r="I75" s="16">
        <f>IF(ISBLANK(F75), "", F75 * D75)</f>
        <v/>
      </c>
      <c r="J75" s="17">
        <f>IF(ISBLANK(F75), "⏳ Pending", IF(G75=0, "✅ Match", IF(G75&lt;0, "⚠️ Shortage", "🔺 Surplus")))</f>
        <v/>
      </c>
      <c r="K75" s="18" t="inlineStr">
        <is>
          <t>Chiller front | SRP: ₱20.00</t>
        </is>
      </c>
    </row>
    <row r="76" ht="21" customHeight="1">
      <c r="A76" s="19" t="inlineStr">
        <is>
          <t>RET-002</t>
        </is>
      </c>
      <c r="B76" s="20" t="inlineStr">
        <is>
          <t>Nature Spring Mineral Water 1L</t>
        </is>
      </c>
      <c r="C76" s="21" t="inlineStr">
        <is>
          <t>Bot (1L)</t>
        </is>
      </c>
      <c r="D76" s="22" t="n">
        <v>18</v>
      </c>
      <c r="E76" s="23" t="n">
        <v>20</v>
      </c>
      <c r="F76" s="13" t="n"/>
      <c r="G76" s="24">
        <f>IF(ISBLANK(F76), "", F76 - E76)</f>
        <v/>
      </c>
      <c r="H76" s="25">
        <f>IF(ISBLANK(F76), "", G76 * D76)</f>
        <v/>
      </c>
      <c r="I76" s="26">
        <f>IF(ISBLANK(F76), "", F76 * D76)</f>
        <v/>
      </c>
      <c r="J76" s="27">
        <f>IF(ISBLANK(F76), "⏳ Pending", IF(G76=0, "✅ Match", IF(G76&lt;0, "⚠️ Shortage", "🔺 Surplus")))</f>
        <v/>
      </c>
      <c r="K76" s="28" t="inlineStr">
        <is>
          <t>Chiller front | SRP: ₱30.00</t>
        </is>
      </c>
    </row>
    <row r="77" ht="21" customHeight="1">
      <c r="A77" s="8" t="inlineStr">
        <is>
          <t>RET-003</t>
        </is>
      </c>
      <c r="B77" s="9" t="inlineStr">
        <is>
          <t>Perrier Sparkling Mineral Water 330ml</t>
        </is>
      </c>
      <c r="C77" s="10" t="inlineStr">
        <is>
          <t>Bot (330ml)</t>
        </is>
      </c>
      <c r="D77" s="11" t="n">
        <v>110</v>
      </c>
      <c r="E77" s="12" t="n">
        <v>12</v>
      </c>
      <c r="F77" s="13" t="n"/>
      <c r="G77" s="14">
        <f>IF(ISBLANK(F77), "", F77 - E77)</f>
        <v/>
      </c>
      <c r="H77" s="15">
        <f>IF(ISBLANK(F77), "", G77 * D77)</f>
        <v/>
      </c>
      <c r="I77" s="16">
        <f>IF(ISBLANK(F77), "", F77 * D77)</f>
        <v/>
      </c>
      <c r="J77" s="17">
        <f>IF(ISBLANK(F77), "⏳ Pending", IF(G77=0, "✅ Match", IF(G77&lt;0, "⚠️ Shortage", "🔺 Surplus")))</f>
        <v/>
      </c>
      <c r="K77" s="18" t="inlineStr">
        <is>
          <t>Chiller front | SRP: ₱199.00</t>
        </is>
      </c>
    </row>
    <row r="78" ht="21" customHeight="1">
      <c r="A78" s="19" t="inlineStr">
        <is>
          <t>RET-004</t>
        </is>
      </c>
      <c r="B78" s="20" t="inlineStr">
        <is>
          <t>Evian Natural Spring Water 500ml</t>
        </is>
      </c>
      <c r="C78" s="21" t="inlineStr">
        <is>
          <t>Bot (500ml)</t>
        </is>
      </c>
      <c r="D78" s="22" t="n">
        <v>95</v>
      </c>
      <c r="E78" s="23" t="n">
        <v>12</v>
      </c>
      <c r="F78" s="13" t="n"/>
      <c r="G78" s="24">
        <f>IF(ISBLANK(F78), "", F78 - E78)</f>
        <v/>
      </c>
      <c r="H78" s="25">
        <f>IF(ISBLANK(F78), "", G78 * D78)</f>
        <v/>
      </c>
      <c r="I78" s="26">
        <f>IF(ISBLANK(F78), "", F78 * D78)</f>
        <v/>
      </c>
      <c r="J78" s="27">
        <f>IF(ISBLANK(F78), "⏳ Pending", IF(G78=0, "✅ Match", IF(G78&lt;0, "⚠️ Shortage", "🔺 Surplus")))</f>
        <v/>
      </c>
      <c r="K78" s="28" t="inlineStr">
        <is>
          <t>Chiller front | SRP: ₱169.00</t>
        </is>
      </c>
    </row>
    <row r="79" ht="21" customHeight="1">
      <c r="A79" s="8" t="inlineStr">
        <is>
          <t>RET-005</t>
        </is>
      </c>
      <c r="B79" s="9" t="inlineStr">
        <is>
          <t>Coca-Cola Regular 320ml Can</t>
        </is>
      </c>
      <c r="C79" s="10" t="inlineStr">
        <is>
          <t>Can (320ml)</t>
        </is>
      </c>
      <c r="D79" s="11" t="n">
        <v>35</v>
      </c>
      <c r="E79" s="12" t="n">
        <v>24</v>
      </c>
      <c r="F79" s="13" t="n"/>
      <c r="G79" s="14">
        <f>IF(ISBLANK(F79), "", F79 - E79)</f>
        <v/>
      </c>
      <c r="H79" s="15">
        <f>IF(ISBLANK(F79), "", G79 * D79)</f>
        <v/>
      </c>
      <c r="I79" s="16">
        <f>IF(ISBLANK(F79), "", F79 * D79)</f>
        <v/>
      </c>
      <c r="J79" s="17">
        <f>IF(ISBLANK(F79), "⏳ Pending", IF(G79=0, "✅ Match", IF(G79&lt;0, "⚠️ Shortage", "🔺 Surplus")))</f>
        <v/>
      </c>
      <c r="K79" s="18" t="inlineStr">
        <is>
          <t>Chiller front | SRP: ₱69.00</t>
        </is>
      </c>
    </row>
    <row r="80" ht="21" customHeight="1">
      <c r="A80" s="19" t="inlineStr">
        <is>
          <t>RET-006</t>
        </is>
      </c>
      <c r="B80" s="20" t="inlineStr">
        <is>
          <t>Coca-Cola Zero Sugar 320ml Can</t>
        </is>
      </c>
      <c r="C80" s="21" t="inlineStr">
        <is>
          <t>Can (320ml)</t>
        </is>
      </c>
      <c r="D80" s="22" t="n">
        <v>35</v>
      </c>
      <c r="E80" s="23" t="n">
        <v>24</v>
      </c>
      <c r="F80" s="13" t="n"/>
      <c r="G80" s="24">
        <f>IF(ISBLANK(F80), "", F80 - E80)</f>
        <v/>
      </c>
      <c r="H80" s="25">
        <f>IF(ISBLANK(F80), "", G80 * D80)</f>
        <v/>
      </c>
      <c r="I80" s="26">
        <f>IF(ISBLANK(F80), "", F80 * D80)</f>
        <v/>
      </c>
      <c r="J80" s="27">
        <f>IF(ISBLANK(F80), "⏳ Pending", IF(G80=0, "✅ Match", IF(G80&lt;0, "⚠️ Shortage", "🔺 Surplus")))</f>
        <v/>
      </c>
      <c r="K80" s="28" t="inlineStr">
        <is>
          <t>Chiller front | SRP: ₱69.00</t>
        </is>
      </c>
    </row>
    <row r="81" ht="21" customHeight="1">
      <c r="A81" s="8" t="inlineStr">
        <is>
          <t>RET-007</t>
        </is>
      </c>
      <c r="B81" s="9" t="inlineStr">
        <is>
          <t>Sprite Soda 320ml Can</t>
        </is>
      </c>
      <c r="C81" s="10" t="inlineStr">
        <is>
          <t>Can (320ml)</t>
        </is>
      </c>
      <c r="D81" s="11" t="n">
        <v>35</v>
      </c>
      <c r="E81" s="12" t="n">
        <v>24</v>
      </c>
      <c r="F81" s="13" t="n"/>
      <c r="G81" s="14">
        <f>IF(ISBLANK(F81), "", F81 - E81)</f>
        <v/>
      </c>
      <c r="H81" s="15">
        <f>IF(ISBLANK(F81), "", G81 * D81)</f>
        <v/>
      </c>
      <c r="I81" s="16">
        <f>IF(ISBLANK(F81), "", F81 * D81)</f>
        <v/>
      </c>
      <c r="J81" s="17">
        <f>IF(ISBLANK(F81), "⏳ Pending", IF(G81=0, "✅ Match", IF(G81&lt;0, "⚠️ Shortage", "🔺 Surplus")))</f>
        <v/>
      </c>
      <c r="K81" s="18" t="inlineStr">
        <is>
          <t>Chiller front | SRP: ₱69.00</t>
        </is>
      </c>
    </row>
    <row r="82" ht="21" customHeight="1">
      <c r="A82" s="19" t="inlineStr">
        <is>
          <t>RET-008</t>
        </is>
      </c>
      <c r="B82" s="20" t="inlineStr">
        <is>
          <t>San Mig Light - Apple Bottle</t>
        </is>
      </c>
      <c r="C82" s="21" t="inlineStr">
        <is>
          <t>Bot (330ml)</t>
        </is>
      </c>
      <c r="D82" s="22" t="n">
        <v>48</v>
      </c>
      <c r="E82" s="23" t="n">
        <v>12</v>
      </c>
      <c r="F82" s="13" t="n"/>
      <c r="G82" s="24">
        <f>IF(ISBLANK(F82), "", F82 - E82)</f>
        <v/>
      </c>
      <c r="H82" s="25">
        <f>IF(ISBLANK(F82), "", G82 * D82)</f>
        <v/>
      </c>
      <c r="I82" s="26">
        <f>IF(ISBLANK(F82), "", F82 * D82)</f>
        <v/>
      </c>
      <c r="J82" s="27">
        <f>IF(ISBLANK(F82), "⏳ Pending", IF(G82=0, "✅ Match", IF(G82&lt;0, "⚠️ Shortage", "🔺 Surplus")))</f>
        <v/>
      </c>
      <c r="K82" s="28" t="inlineStr">
        <is>
          <t>Chiller front | SRP: ₱70.00</t>
        </is>
      </c>
    </row>
    <row r="83" ht="21" customHeight="1">
      <c r="A83" s="8" t="inlineStr">
        <is>
          <t>RET-009</t>
        </is>
      </c>
      <c r="B83" s="9" t="inlineStr">
        <is>
          <t>San Miguel Pale Pilsen 320ml Bottle</t>
        </is>
      </c>
      <c r="C83" s="10" t="inlineStr">
        <is>
          <t>Bot (320ml)</t>
        </is>
      </c>
      <c r="D83" s="11" t="n">
        <v>52</v>
      </c>
      <c r="E83" s="12" t="n">
        <v>12</v>
      </c>
      <c r="F83" s="13" t="n"/>
      <c r="G83" s="14">
        <f>IF(ISBLANK(F83), "", F83 - E83)</f>
        <v/>
      </c>
      <c r="H83" s="15">
        <f>IF(ISBLANK(F83), "", G83 * D83)</f>
        <v/>
      </c>
      <c r="I83" s="16">
        <f>IF(ISBLANK(F83), "", F83 * D83)</f>
        <v/>
      </c>
      <c r="J83" s="17">
        <f>IF(ISBLANK(F83), "⏳ Pending", IF(G83=0, "✅ Match", IF(G83&lt;0, "⚠️ Shortage", "🔺 Surplus")))</f>
        <v/>
      </c>
      <c r="K83" s="18" t="inlineStr">
        <is>
          <t>Chiller front | SRP: ₱80.00</t>
        </is>
      </c>
    </row>
    <row r="84" ht="21" customHeight="1">
      <c r="A84" s="19" t="inlineStr">
        <is>
          <t>RET-010</t>
        </is>
      </c>
      <c r="B84" s="20" t="inlineStr">
        <is>
          <t>Red Horse Stallion 330ml Bottle</t>
        </is>
      </c>
      <c r="C84" s="21" t="inlineStr">
        <is>
          <t>Bot (330ml)</t>
        </is>
      </c>
      <c r="D84" s="22" t="n">
        <v>55</v>
      </c>
      <c r="E84" s="23" t="n">
        <v>15</v>
      </c>
      <c r="F84" s="13" t="n"/>
      <c r="G84" s="24">
        <f>IF(ISBLANK(F84), "", F84 - E84)</f>
        <v/>
      </c>
      <c r="H84" s="25">
        <f>IF(ISBLANK(F84), "", G84 * D84)</f>
        <v/>
      </c>
      <c r="I84" s="26">
        <f>IF(ISBLANK(F84), "", F84 * D84)</f>
        <v/>
      </c>
      <c r="J84" s="27">
        <f>IF(ISBLANK(F84), "⏳ Pending", IF(G84=0, "✅ Match", IF(G84&lt;0, "⚠️ Shortage", "🔺 Surplus")))</f>
        <v/>
      </c>
      <c r="K84" s="28" t="inlineStr">
        <is>
          <t>Chiller front | SRP: ₱85.00</t>
        </is>
      </c>
    </row>
    <row r="85" ht="22" customHeight="1">
      <c r="A85" s="29" t="inlineStr">
        <is>
          <t>Subtotal — Retail Bottled Beverages &amp; Beers:</t>
        </is>
      </c>
      <c r="B85" s="30" t="n"/>
      <c r="C85" s="30" t="n"/>
      <c r="D85" s="30" t="inlineStr"/>
      <c r="E85" s="31">
        <f>SUM(E75:E84)</f>
        <v/>
      </c>
      <c r="F85" s="31">
        <f>SUM(F75:F84)</f>
        <v/>
      </c>
      <c r="G85" s="32">
        <f>SUM(G75:G84)</f>
        <v/>
      </c>
      <c r="H85" s="33">
        <f>SUM(H75:H84)</f>
        <v/>
      </c>
      <c r="I85" s="34">
        <f>SUM(I75:I84)</f>
        <v/>
      </c>
      <c r="J85" s="30" t="inlineStr"/>
      <c r="K85" s="30" t="inlineStr"/>
    </row>
    <row r="87" ht="24" customHeight="1">
      <c r="A87" s="40" t="inlineStr">
        <is>
          <t xml:space="preserve">  🥨  7. PASTRIES, BAKERY &amp; GRAB-AND-GO SNACKS</t>
        </is>
      </c>
    </row>
    <row r="88" ht="21" customHeight="1">
      <c r="A88" s="8" t="inlineStr">
        <is>
          <t>PAS-001</t>
        </is>
      </c>
      <c r="B88" s="9" t="inlineStr">
        <is>
          <t>Special Ensaymada (Pack of 6pcs)</t>
        </is>
      </c>
      <c r="C88" s="10" t="inlineStr">
        <is>
          <t>Pack (6s)</t>
        </is>
      </c>
      <c r="D88" s="11" t="n">
        <v>45</v>
      </c>
      <c r="E88" s="12" t="n">
        <v>6</v>
      </c>
      <c r="F88" s="13" t="n"/>
      <c r="G88" s="14">
        <f>IF(ISBLANK(F88), "", F88 - E88)</f>
        <v/>
      </c>
      <c r="H88" s="15">
        <f>IF(ISBLANK(F88), "", G88 * D88)</f>
        <v/>
      </c>
      <c r="I88" s="16">
        <f>IF(ISBLANK(F88), "", F88 * D88)</f>
        <v/>
      </c>
      <c r="J88" s="17">
        <f>IF(ISBLANK(F88), "⏳ Pending", IF(G88=0, "✅ Match", IF(G88&lt;0, "⚠️ Shortage", "🔺 Surplus")))</f>
        <v/>
      </c>
      <c r="K88" s="18" t="inlineStr">
        <is>
          <t>Pastry display | SRP: ₱69.00</t>
        </is>
      </c>
    </row>
    <row r="89" ht="21" customHeight="1">
      <c r="A89" s="19" t="inlineStr">
        <is>
          <t>PAS-002</t>
        </is>
      </c>
      <c r="B89" s="20" t="inlineStr">
        <is>
          <t>Chocolate Crinkles Pack</t>
        </is>
      </c>
      <c r="C89" s="21" t="inlineStr">
        <is>
          <t>Pack</t>
        </is>
      </c>
      <c r="D89" s="22" t="n">
        <v>25</v>
      </c>
      <c r="E89" s="23" t="n">
        <v>8</v>
      </c>
      <c r="F89" s="13" t="n"/>
      <c r="G89" s="24">
        <f>IF(ISBLANK(F89), "", F89 - E89)</f>
        <v/>
      </c>
      <c r="H89" s="25">
        <f>IF(ISBLANK(F89), "", G89 * D89)</f>
        <v/>
      </c>
      <c r="I89" s="26">
        <f>IF(ISBLANK(F89), "", F89 * D89)</f>
        <v/>
      </c>
      <c r="J89" s="27">
        <f>IF(ISBLANK(F89), "⏳ Pending", IF(G89=0, "✅ Match", IF(G89&lt;0, "⚠️ Shortage", "🔺 Surplus")))</f>
        <v/>
      </c>
      <c r="K89" s="28" t="inlineStr">
        <is>
          <t>Pastry display | SRP: ₱39.00</t>
        </is>
      </c>
    </row>
    <row r="90" ht="21" customHeight="1">
      <c r="A90" s="8" t="inlineStr">
        <is>
          <t>PAS-003</t>
        </is>
      </c>
      <c r="B90" s="9" t="inlineStr">
        <is>
          <t>Assorted Gourmet Muffins</t>
        </is>
      </c>
      <c r="C90" s="10" t="inlineStr">
        <is>
          <t>Pieces</t>
        </is>
      </c>
      <c r="D90" s="11" t="n">
        <v>75</v>
      </c>
      <c r="E90" s="12" t="n">
        <v>5</v>
      </c>
      <c r="F90" s="13" t="n"/>
      <c r="G90" s="14">
        <f>IF(ISBLANK(F90), "", F90 - E90)</f>
        <v/>
      </c>
      <c r="H90" s="15">
        <f>IF(ISBLANK(F90), "", G90 * D90)</f>
        <v/>
      </c>
      <c r="I90" s="16">
        <f>IF(ISBLANK(F90), "", F90 * D90)</f>
        <v/>
      </c>
      <c r="J90" s="17">
        <f>IF(ISBLANK(F90), "⏳ Pending", IF(G90=0, "✅ Match", IF(G90&lt;0, "⚠️ Shortage", "🔺 Surplus")))</f>
        <v/>
      </c>
      <c r="K90" s="18" t="inlineStr">
        <is>
          <t>Pastry display | SRP: ₱129.00</t>
        </is>
      </c>
    </row>
    <row r="91" ht="21" customHeight="1">
      <c r="A91" s="19" t="inlineStr">
        <is>
          <t>PAS-004</t>
        </is>
      </c>
      <c r="B91" s="20" t="inlineStr">
        <is>
          <t>Sliced Pastry Cake</t>
        </is>
      </c>
      <c r="C91" s="21" t="inlineStr">
        <is>
          <t>Pieces</t>
        </is>
      </c>
      <c r="D91" s="22" t="n">
        <v>30</v>
      </c>
      <c r="E91" s="23" t="n">
        <v>20</v>
      </c>
      <c r="F91" s="13" t="n"/>
      <c r="G91" s="24">
        <f>IF(ISBLANK(F91), "", F91 - E91)</f>
        <v/>
      </c>
      <c r="H91" s="25">
        <f>IF(ISBLANK(F91), "", G91 * D91)</f>
        <v/>
      </c>
      <c r="I91" s="26">
        <f>IF(ISBLANK(F91), "", F91 * D91)</f>
        <v/>
      </c>
      <c r="J91" s="27">
        <f>IF(ISBLANK(F91), "⏳ Pending", IF(G91=0, "✅ Match", IF(G91&lt;0, "⚠️ Shortage", "🔺 Surplus")))</f>
        <v/>
      </c>
      <c r="K91" s="28" t="inlineStr">
        <is>
          <t>Pastry display | SRP: ₱49.00</t>
        </is>
      </c>
    </row>
    <row r="92" ht="21" customHeight="1">
      <c r="A92" s="8" t="inlineStr">
        <is>
          <t>SNK-001</t>
        </is>
      </c>
      <c r="B92" s="9" t="inlineStr">
        <is>
          <t>Pringles Potato Crisps Original 158g</t>
        </is>
      </c>
      <c r="C92" s="10" t="inlineStr">
        <is>
          <t>Can (158g)</t>
        </is>
      </c>
      <c r="D92" s="11" t="n">
        <v>98</v>
      </c>
      <c r="E92" s="12" t="n">
        <v>10</v>
      </c>
      <c r="F92" s="13" t="n"/>
      <c r="G92" s="14">
        <f>IF(ISBLANK(F92), "", F92 - E92)</f>
        <v/>
      </c>
      <c r="H92" s="15">
        <f>IF(ISBLANK(F92), "", G92 * D92)</f>
        <v/>
      </c>
      <c r="I92" s="16">
        <f>IF(ISBLANK(F92), "", F92 * D92)</f>
        <v/>
      </c>
      <c r="J92" s="17">
        <f>IF(ISBLANK(F92), "⏳ Pending", IF(G92=0, "✅ Match", IF(G92&lt;0, "⚠️ Shortage", "🔺 Surplus")))</f>
        <v/>
      </c>
      <c r="K92" s="18" t="inlineStr">
        <is>
          <t>Retail shelf | SRP: ₱149.00</t>
        </is>
      </c>
    </row>
    <row r="93" ht="21" customHeight="1">
      <c r="A93" s="19" t="inlineStr">
        <is>
          <t>SNK-002</t>
        </is>
      </c>
      <c r="B93" s="20" t="inlineStr">
        <is>
          <t>Pringles Sour Cream &amp; Onion 158g</t>
        </is>
      </c>
      <c r="C93" s="21" t="inlineStr">
        <is>
          <t>Can (158g)</t>
        </is>
      </c>
      <c r="D93" s="22" t="n">
        <v>98</v>
      </c>
      <c r="E93" s="23" t="n">
        <v>10</v>
      </c>
      <c r="F93" s="13" t="n"/>
      <c r="G93" s="24">
        <f>IF(ISBLANK(F93), "", F93 - E93)</f>
        <v/>
      </c>
      <c r="H93" s="25">
        <f>IF(ISBLANK(F93), "", G93 * D93)</f>
        <v/>
      </c>
      <c r="I93" s="26">
        <f>IF(ISBLANK(F93), "", F93 * D93)</f>
        <v/>
      </c>
      <c r="J93" s="27">
        <f>IF(ISBLANK(F93), "⏳ Pending", IF(G93=0, "✅ Match", IF(G93&lt;0, "⚠️ Shortage", "🔺 Surplus")))</f>
        <v/>
      </c>
      <c r="K93" s="28" t="inlineStr">
        <is>
          <t>Retail shelf | SRP: ₱149.00</t>
        </is>
      </c>
    </row>
    <row r="94" ht="21" customHeight="1">
      <c r="A94" s="8" t="inlineStr">
        <is>
          <t>SNK-003</t>
        </is>
      </c>
      <c r="B94" s="9" t="inlineStr">
        <is>
          <t>Pringles Cheddar Cheese 158g</t>
        </is>
      </c>
      <c r="C94" s="10" t="inlineStr">
        <is>
          <t>Can (158g)</t>
        </is>
      </c>
      <c r="D94" s="11" t="n">
        <v>98</v>
      </c>
      <c r="E94" s="12" t="n">
        <v>10</v>
      </c>
      <c r="F94" s="13" t="n"/>
      <c r="G94" s="14">
        <f>IF(ISBLANK(F94), "", F94 - E94)</f>
        <v/>
      </c>
      <c r="H94" s="15">
        <f>IF(ISBLANK(F94), "", G94 * D94)</f>
        <v/>
      </c>
      <c r="I94" s="16">
        <f>IF(ISBLANK(F94), "", F94 * D94)</f>
        <v/>
      </c>
      <c r="J94" s="17">
        <f>IF(ISBLANK(F94), "⏳ Pending", IF(G94=0, "✅ Match", IF(G94&lt;0, "⚠️ Shortage", "🔺 Surplus")))</f>
        <v/>
      </c>
      <c r="K94" s="18" t="inlineStr">
        <is>
          <t>Retail shelf | SRP: ₱149.00</t>
        </is>
      </c>
    </row>
    <row r="95" ht="21" customHeight="1">
      <c r="A95" s="19" t="inlineStr">
        <is>
          <t>SNK-004</t>
        </is>
      </c>
      <c r="B95" s="20" t="inlineStr">
        <is>
          <t>Cheetos Cheddar Jalapeño 226.8g</t>
        </is>
      </c>
      <c r="C95" s="21" t="inlineStr">
        <is>
          <t>Pack</t>
        </is>
      </c>
      <c r="D95" s="22" t="n">
        <v>98</v>
      </c>
      <c r="E95" s="23" t="n">
        <v>8</v>
      </c>
      <c r="F95" s="13" t="n"/>
      <c r="G95" s="24">
        <f>IF(ISBLANK(F95), "", F95 - E95)</f>
        <v/>
      </c>
      <c r="H95" s="25">
        <f>IF(ISBLANK(F95), "", G95 * D95)</f>
        <v/>
      </c>
      <c r="I95" s="26">
        <f>IF(ISBLANK(F95), "", F95 * D95)</f>
        <v/>
      </c>
      <c r="J95" s="27">
        <f>IF(ISBLANK(F95), "⏳ Pending", IF(G95=0, "✅ Match", IF(G95&lt;0, "⚠️ Shortage", "🔺 Surplus")))</f>
        <v/>
      </c>
      <c r="K95" s="28" t="inlineStr">
        <is>
          <t>Retail shelf | SRP: ₱149.00</t>
        </is>
      </c>
    </row>
    <row r="96" ht="21" customHeight="1">
      <c r="A96" s="8" t="inlineStr">
        <is>
          <t>SNK-005</t>
        </is>
      </c>
      <c r="B96" s="9" t="inlineStr">
        <is>
          <t>Butter Lover Popcorn Bag</t>
        </is>
      </c>
      <c r="C96" s="10" t="inlineStr">
        <is>
          <t>Bag</t>
        </is>
      </c>
      <c r="D96" s="11" t="n">
        <v>85</v>
      </c>
      <c r="E96" s="12" t="n">
        <v>12</v>
      </c>
      <c r="F96" s="13" t="n"/>
      <c r="G96" s="14">
        <f>IF(ISBLANK(F96), "", F96 - E96)</f>
        <v/>
      </c>
      <c r="H96" s="15">
        <f>IF(ISBLANK(F96), "", G96 * D96)</f>
        <v/>
      </c>
      <c r="I96" s="16">
        <f>IF(ISBLANK(F96), "", F96 * D96)</f>
        <v/>
      </c>
      <c r="J96" s="17">
        <f>IF(ISBLANK(F96), "⏳ Pending", IF(G96=0, "✅ Match", IF(G96&lt;0, "⚠️ Shortage", "🔺 Surplus")))</f>
        <v/>
      </c>
      <c r="K96" s="18" t="inlineStr">
        <is>
          <t>Retail shelf | SRP: ₱149.00</t>
        </is>
      </c>
    </row>
    <row r="97" ht="22" customHeight="1">
      <c r="A97" s="29" t="inlineStr">
        <is>
          <t>Subtotal — Pastries, Bakery &amp; Grab-and-Go Snacks:</t>
        </is>
      </c>
      <c r="B97" s="30" t="n"/>
      <c r="C97" s="30" t="n"/>
      <c r="D97" s="30" t="inlineStr"/>
      <c r="E97" s="31">
        <f>SUM(E88:E96)</f>
        <v/>
      </c>
      <c r="F97" s="31">
        <f>SUM(F88:F96)</f>
        <v/>
      </c>
      <c r="G97" s="32">
        <f>SUM(G88:G96)</f>
        <v/>
      </c>
      <c r="H97" s="33">
        <f>SUM(H88:H96)</f>
        <v/>
      </c>
      <c r="I97" s="34">
        <f>SUM(I88:I96)</f>
        <v/>
      </c>
      <c r="J97" s="30" t="inlineStr"/>
      <c r="K97" s="30" t="inlineStr"/>
    </row>
    <row r="99" ht="24" customHeight="1">
      <c r="A99" s="41" t="inlineStr">
        <is>
          <t xml:space="preserve">  🎁  8. MERCHANDISE &amp; COLLECTOR MUGS</t>
        </is>
      </c>
    </row>
    <row r="100" ht="21" customHeight="1">
      <c r="A100" s="8" t="inlineStr">
        <is>
          <t>MRC-001</t>
        </is>
      </c>
      <c r="B100" s="9" t="inlineStr">
        <is>
          <t>Mickey Mouse Ceramic Mug (with Box)</t>
        </is>
      </c>
      <c r="C100" s="10" t="inlineStr">
        <is>
          <t>Piece</t>
        </is>
      </c>
      <c r="D100" s="11" t="n">
        <v>350</v>
      </c>
      <c r="E100" s="12" t="n">
        <v>20</v>
      </c>
      <c r="F100" s="13" t="n"/>
      <c r="G100" s="14">
        <f>IF(ISBLANK(F100), "", F100 - E100)</f>
        <v/>
      </c>
      <c r="H100" s="15">
        <f>IF(ISBLANK(F100), "", G100 * D100)</f>
        <v/>
      </c>
      <c r="I100" s="16">
        <f>IF(ISBLANK(F100), "", F100 * D100)</f>
        <v/>
      </c>
      <c r="J100" s="17">
        <f>IF(ISBLANK(F100), "⏳ Pending", IF(G100=0, "✅ Match", IF(G100&lt;0, "⚠️ Shortage", "🔺 Surplus")))</f>
        <v/>
      </c>
      <c r="K100" s="18" t="inlineStr">
        <is>
          <t>Display cabinet | SRP: ₱599.00</t>
        </is>
      </c>
    </row>
    <row r="101" ht="21" customHeight="1">
      <c r="A101" s="19" t="inlineStr">
        <is>
          <t>MRC-002</t>
        </is>
      </c>
      <c r="B101" s="20" t="inlineStr">
        <is>
          <t>Stitch Ceramic Mug (with Box)</t>
        </is>
      </c>
      <c r="C101" s="21" t="inlineStr">
        <is>
          <t>Piece</t>
        </is>
      </c>
      <c r="D101" s="22" t="n">
        <v>350</v>
      </c>
      <c r="E101" s="23" t="n">
        <v>20</v>
      </c>
      <c r="F101" s="13" t="n"/>
      <c r="G101" s="24">
        <f>IF(ISBLANK(F101), "", F101 - E101)</f>
        <v/>
      </c>
      <c r="H101" s="25">
        <f>IF(ISBLANK(F101), "", G101 * D101)</f>
        <v/>
      </c>
      <c r="I101" s="26">
        <f>IF(ISBLANK(F101), "", F101 * D101)</f>
        <v/>
      </c>
      <c r="J101" s="27">
        <f>IF(ISBLANK(F101), "⏳ Pending", IF(G101=0, "✅ Match", IF(G101&lt;0, "⚠️ Shortage", "🔺 Surplus")))</f>
        <v/>
      </c>
      <c r="K101" s="28" t="inlineStr">
        <is>
          <t>Display cabinet | SRP: ₱599.00</t>
        </is>
      </c>
    </row>
    <row r="102" ht="21" customHeight="1">
      <c r="A102" s="8" t="inlineStr">
        <is>
          <t>MRC-003</t>
        </is>
      </c>
      <c r="B102" s="9" t="inlineStr">
        <is>
          <t>Lotso Bear Ceramic Mug (with Box)</t>
        </is>
      </c>
      <c r="C102" s="10" t="inlineStr">
        <is>
          <t>Piece</t>
        </is>
      </c>
      <c r="D102" s="11" t="n">
        <v>350</v>
      </c>
      <c r="E102" s="12" t="n">
        <v>20</v>
      </c>
      <c r="F102" s="13" t="n"/>
      <c r="G102" s="14">
        <f>IF(ISBLANK(F102), "", F102 - E102)</f>
        <v/>
      </c>
      <c r="H102" s="15">
        <f>IF(ISBLANK(F102), "", G102 * D102)</f>
        <v/>
      </c>
      <c r="I102" s="16">
        <f>IF(ISBLANK(F102), "", F102 * D102)</f>
        <v/>
      </c>
      <c r="J102" s="17">
        <f>IF(ISBLANK(F102), "⏳ Pending", IF(G102=0, "✅ Match", IF(G102&lt;0, "⚠️ Shortage", "🔺 Surplus")))</f>
        <v/>
      </c>
      <c r="K102" s="18" t="inlineStr">
        <is>
          <t>Display cabinet | SRP: ₱599.00</t>
        </is>
      </c>
    </row>
    <row r="103" ht="21" customHeight="1">
      <c r="A103" s="19" t="inlineStr">
        <is>
          <t>MRC-004</t>
        </is>
      </c>
      <c r="B103" s="20" t="inlineStr">
        <is>
          <t>Nick Wilde Fox Ceramic Mug (with Box)</t>
        </is>
      </c>
      <c r="C103" s="21" t="inlineStr">
        <is>
          <t>Piece</t>
        </is>
      </c>
      <c r="D103" s="22" t="n">
        <v>350</v>
      </c>
      <c r="E103" s="23" t="n">
        <v>20</v>
      </c>
      <c r="F103" s="13" t="n"/>
      <c r="G103" s="24">
        <f>IF(ISBLANK(F103), "", F103 - E103)</f>
        <v/>
      </c>
      <c r="H103" s="25">
        <f>IF(ISBLANK(F103), "", G103 * D103)</f>
        <v/>
      </c>
      <c r="I103" s="26">
        <f>IF(ISBLANK(F103), "", F103 * D103)</f>
        <v/>
      </c>
      <c r="J103" s="27">
        <f>IF(ISBLANK(F103), "⏳ Pending", IF(G103=0, "✅ Match", IF(G103&lt;0, "⚠️ Shortage", "🔺 Surplus")))</f>
        <v/>
      </c>
      <c r="K103" s="28" t="inlineStr">
        <is>
          <t>Display cabinet | SRP: ₱599.00</t>
        </is>
      </c>
    </row>
    <row r="104" ht="22" customHeight="1">
      <c r="A104" s="29" t="inlineStr">
        <is>
          <t>Subtotal — Merchandise &amp; Collector Mugs:</t>
        </is>
      </c>
      <c r="B104" s="30" t="n"/>
      <c r="C104" s="30" t="n"/>
      <c r="D104" s="30" t="inlineStr"/>
      <c r="E104" s="31">
        <f>SUM(E100:E103)</f>
        <v/>
      </c>
      <c r="F104" s="31">
        <f>SUM(F100:F103)</f>
        <v/>
      </c>
      <c r="G104" s="32">
        <f>SUM(G100:G103)</f>
        <v/>
      </c>
      <c r="H104" s="33">
        <f>SUM(H100:H103)</f>
        <v/>
      </c>
      <c r="I104" s="34">
        <f>SUM(I100:I103)</f>
        <v/>
      </c>
      <c r="J104" s="30" t="inlineStr"/>
      <c r="K104" s="30" t="inlineStr"/>
    </row>
    <row r="106" ht="24" customHeight="1">
      <c r="A106" s="42" t="inlineStr">
        <is>
          <t xml:space="preserve">  📦  9. CUPS, LIDS &amp; PACKAGING DISPOSABLES</t>
        </is>
      </c>
    </row>
    <row r="107" ht="21" customHeight="1">
      <c r="A107" s="8" t="inlineStr">
        <is>
          <t>PKG-001</t>
        </is>
      </c>
      <c r="B107" s="9" t="inlineStr">
        <is>
          <t>Hot Paper Cups 8oz / 12oz</t>
        </is>
      </c>
      <c r="C107" s="10" t="inlineStr">
        <is>
          <t>Sleeve (50s)</t>
        </is>
      </c>
      <c r="D107" s="11" t="n">
        <v>120</v>
      </c>
      <c r="E107" s="12" t="n">
        <v>5</v>
      </c>
      <c r="F107" s="13" t="n"/>
      <c r="G107" s="14">
        <f>IF(ISBLANK(F107), "", F107 - E107)</f>
        <v/>
      </c>
      <c r="H107" s="15">
        <f>IF(ISBLANK(F107), "", G107 * D107)</f>
        <v/>
      </c>
      <c r="I107" s="16">
        <f>IF(ISBLANK(F107), "", F107 * D107)</f>
        <v/>
      </c>
      <c r="J107" s="17">
        <f>IF(ISBLANK(F107), "⏳ Pending", IF(G107=0, "✅ Match", IF(G107&lt;0, "⚠️ Shortage", "🔺 Surplus")))</f>
        <v/>
      </c>
      <c r="K107" s="18" t="inlineStr">
        <is>
          <t>For hot coffee drinks</t>
        </is>
      </c>
    </row>
    <row r="108" ht="21" customHeight="1">
      <c r="A108" s="19" t="inlineStr">
        <is>
          <t>PKG-002</t>
        </is>
      </c>
      <c r="B108" s="20" t="inlineStr">
        <is>
          <t>Hot Cup Sipper Lids 80mm / 90mm</t>
        </is>
      </c>
      <c r="C108" s="21" t="inlineStr">
        <is>
          <t>Sleeve (50s)</t>
        </is>
      </c>
      <c r="D108" s="22" t="n">
        <v>85</v>
      </c>
      <c r="E108" s="23" t="n">
        <v>5</v>
      </c>
      <c r="F108" s="13" t="n"/>
      <c r="G108" s="24">
        <f>IF(ISBLANK(F108), "", F108 - E108)</f>
        <v/>
      </c>
      <c r="H108" s="25">
        <f>IF(ISBLANK(F108), "", G108 * D108)</f>
        <v/>
      </c>
      <c r="I108" s="26">
        <f>IF(ISBLANK(F108), "", F108 * D108)</f>
        <v/>
      </c>
      <c r="J108" s="27">
        <f>IF(ISBLANK(F108), "⏳ Pending", IF(G108=0, "✅ Match", IF(G108&lt;0, "⚠️ Shortage", "🔺 Surplus")))</f>
        <v/>
      </c>
      <c r="K108" s="28" t="inlineStr">
        <is>
          <t>For hot coffee cups</t>
        </is>
      </c>
    </row>
    <row r="109" ht="21" customHeight="1">
      <c r="A109" s="8" t="inlineStr">
        <is>
          <t>PKG-003</t>
        </is>
      </c>
      <c r="B109" s="9" t="inlineStr">
        <is>
          <t>Cold PET Cups 16oz (Medium)</t>
        </is>
      </c>
      <c r="C109" s="10" t="inlineStr">
        <is>
          <t>Sleeve (50s)</t>
        </is>
      </c>
      <c r="D109" s="11" t="n">
        <v>140</v>
      </c>
      <c r="E109" s="12" t="n">
        <v>6</v>
      </c>
      <c r="F109" s="13" t="n"/>
      <c r="G109" s="14">
        <f>IF(ISBLANK(F109), "", F109 - E109)</f>
        <v/>
      </c>
      <c r="H109" s="15">
        <f>IF(ISBLANK(F109), "", G109 * D109)</f>
        <v/>
      </c>
      <c r="I109" s="16">
        <f>IF(ISBLANK(F109), "", F109 * D109)</f>
        <v/>
      </c>
      <c r="J109" s="17">
        <f>IF(ISBLANK(F109), "⏳ Pending", IF(G109=0, "✅ Match", IF(G109&lt;0, "⚠️ Shortage", "🔺 Surplus")))</f>
        <v/>
      </c>
      <c r="K109" s="18" t="inlineStr">
        <is>
          <t>For iced coffee &amp; tea 16oz</t>
        </is>
      </c>
    </row>
    <row r="110" ht="21" customHeight="1">
      <c r="A110" s="19" t="inlineStr">
        <is>
          <t>PKG-004</t>
        </is>
      </c>
      <c r="B110" s="20" t="inlineStr">
        <is>
          <t>Cold PET Cups 22oz (Large)</t>
        </is>
      </c>
      <c r="C110" s="21" t="inlineStr">
        <is>
          <t>Sleeve (50s)</t>
        </is>
      </c>
      <c r="D110" s="22" t="n">
        <v>165</v>
      </c>
      <c r="E110" s="23" t="n">
        <v>6</v>
      </c>
      <c r="F110" s="13" t="n"/>
      <c r="G110" s="24">
        <f>IF(ISBLANK(F110), "", F110 - E110)</f>
        <v/>
      </c>
      <c r="H110" s="25">
        <f>IF(ISBLANK(F110), "", G110 * D110)</f>
        <v/>
      </c>
      <c r="I110" s="26">
        <f>IF(ISBLANK(F110), "", F110 * D110)</f>
        <v/>
      </c>
      <c r="J110" s="27">
        <f>IF(ISBLANK(F110), "⏳ Pending", IF(G110=0, "✅ Match", IF(G110&lt;0, "⚠️ Shortage", "🔺 Surplus")))</f>
        <v/>
      </c>
      <c r="K110" s="28" t="inlineStr">
        <is>
          <t>For iced coffee &amp; tea 22oz</t>
        </is>
      </c>
    </row>
    <row r="111" ht="21" customHeight="1">
      <c r="A111" s="8" t="inlineStr">
        <is>
          <t>PKG-005</t>
        </is>
      </c>
      <c r="B111" s="9" t="inlineStr">
        <is>
          <t>Flat Lids 90mm / 95mm</t>
        </is>
      </c>
      <c r="C111" s="10" t="inlineStr">
        <is>
          <t>Sleeve (50s)</t>
        </is>
      </c>
      <c r="D111" s="11" t="n">
        <v>75</v>
      </c>
      <c r="E111" s="12" t="n">
        <v>6</v>
      </c>
      <c r="F111" s="13" t="n"/>
      <c r="G111" s="14">
        <f>IF(ISBLANK(F111), "", F111 - E111)</f>
        <v/>
      </c>
      <c r="H111" s="15">
        <f>IF(ISBLANK(F111), "", G111 * D111)</f>
        <v/>
      </c>
      <c r="I111" s="16">
        <f>IF(ISBLANK(F111), "", F111 * D111)</f>
        <v/>
      </c>
      <c r="J111" s="17">
        <f>IF(ISBLANK(F111), "⏳ Pending", IF(G111=0, "✅ Match", IF(G111&lt;0, "⚠️ Shortage", "🔺 Surplus")))</f>
        <v/>
      </c>
      <c r="K111" s="18" t="inlineStr">
        <is>
          <t>Cold beverage flat lid</t>
        </is>
      </c>
    </row>
    <row r="112" ht="21" customHeight="1">
      <c r="A112" s="19" t="inlineStr">
        <is>
          <t>PKG-006</t>
        </is>
      </c>
      <c r="B112" s="20" t="inlineStr">
        <is>
          <t>Dome Lids 90mm / 95mm</t>
        </is>
      </c>
      <c r="C112" s="21" t="inlineStr">
        <is>
          <t>Sleeve (50s)</t>
        </is>
      </c>
      <c r="D112" s="22" t="n">
        <v>85</v>
      </c>
      <c r="E112" s="23" t="n">
        <v>6</v>
      </c>
      <c r="F112" s="13" t="n"/>
      <c r="G112" s="24">
        <f>IF(ISBLANK(F112), "", F112 - E112)</f>
        <v/>
      </c>
      <c r="H112" s="25">
        <f>IF(ISBLANK(F112), "", G112 * D112)</f>
        <v/>
      </c>
      <c r="I112" s="26">
        <f>IF(ISBLANK(F112), "", F112 * D112)</f>
        <v/>
      </c>
      <c r="J112" s="27">
        <f>IF(ISBLANK(F112), "⏳ Pending", IF(G112=0, "✅ Match", IF(G112&lt;0, "⚠️ Shortage", "🔺 Surplus")))</f>
        <v/>
      </c>
      <c r="K112" s="28" t="inlineStr">
        <is>
          <t>Whipping cream / foam dome</t>
        </is>
      </c>
    </row>
    <row r="113" ht="21" customHeight="1">
      <c r="A113" s="8" t="inlineStr">
        <is>
          <t>PKG-007</t>
        </is>
      </c>
      <c r="B113" s="9" t="inlineStr">
        <is>
          <t>Wooden Coffee Stirrers (100s)</t>
        </is>
      </c>
      <c r="C113" s="10" t="inlineStr">
        <is>
          <t>Pack (100s)</t>
        </is>
      </c>
      <c r="D113" s="11" t="n">
        <v>25</v>
      </c>
      <c r="E113" s="12" t="n">
        <v>2</v>
      </c>
      <c r="F113" s="13" t="n"/>
      <c r="G113" s="14">
        <f>IF(ISBLANK(F113), "", F113 - E113)</f>
        <v/>
      </c>
      <c r="H113" s="15">
        <f>IF(ISBLANK(F113), "", G113 * D113)</f>
        <v/>
      </c>
      <c r="I113" s="16">
        <f>IF(ISBLANK(F113), "", F113 * D113)</f>
        <v/>
      </c>
      <c r="J113" s="17">
        <f>IF(ISBLANK(F113), "⏳ Pending", IF(G113=0, "✅ Match", IF(G113&lt;0, "⚠️ Shortage", "🔺 Surplus")))</f>
        <v/>
      </c>
      <c r="K113" s="18" t="inlineStr">
        <is>
          <t>Eco-friendly stirrers</t>
        </is>
      </c>
    </row>
    <row r="114" ht="21" customHeight="1">
      <c r="A114" s="19" t="inlineStr">
        <is>
          <t>PKG-008</t>
        </is>
      </c>
      <c r="B114" s="20" t="inlineStr">
        <is>
          <t>Individually Wrapped Drinking Straws</t>
        </is>
      </c>
      <c r="C114" s="21" t="inlineStr">
        <is>
          <t>Pack (100s)</t>
        </is>
      </c>
      <c r="D114" s="22" t="n">
        <v>45</v>
      </c>
      <c r="E114" s="23" t="n">
        <v>4</v>
      </c>
      <c r="F114" s="13" t="n"/>
      <c r="G114" s="24">
        <f>IF(ISBLANK(F114), "", F114 - E114)</f>
        <v/>
      </c>
      <c r="H114" s="25">
        <f>IF(ISBLANK(F114), "", G114 * D114)</f>
        <v/>
      </c>
      <c r="I114" s="26">
        <f>IF(ISBLANK(F114), "", F114 * D114)</f>
        <v/>
      </c>
      <c r="J114" s="27">
        <f>IF(ISBLANK(F114), "⏳ Pending", IF(G114=0, "✅ Match", IF(G114&lt;0, "⚠️ Shortage", "🔺 Surplus")))</f>
        <v/>
      </c>
      <c r="K114" s="28" t="inlineStr">
        <is>
          <t>Hygienic cold drink straws</t>
        </is>
      </c>
    </row>
    <row r="115" ht="21" customHeight="1">
      <c r="A115" s="8" t="inlineStr">
        <is>
          <t>PKG-009</t>
        </is>
      </c>
      <c r="B115" s="9" t="inlineStr">
        <is>
          <t>Jade Pre-Cut Table Napkins / Tissues 1000s</t>
        </is>
      </c>
      <c r="C115" s="10" t="inlineStr">
        <is>
          <t>Pack (1000s)</t>
        </is>
      </c>
      <c r="D115" s="11" t="n">
        <v>80</v>
      </c>
      <c r="E115" s="12" t="n">
        <v>1</v>
      </c>
      <c r="F115" s="13" t="n"/>
      <c r="G115" s="14">
        <f>IF(ISBLANK(F115), "", F115 - E115)</f>
        <v/>
      </c>
      <c r="H115" s="15">
        <f>IF(ISBLANK(F115), "", G115 * D115)</f>
        <v/>
      </c>
      <c r="I115" s="16">
        <f>IF(ISBLANK(F115), "", F115 * D115)</f>
        <v/>
      </c>
      <c r="J115" s="17">
        <f>IF(ISBLANK(F115), "⏳ Pending", IF(G115=0, "✅ Match", IF(G115&lt;0, "⚠️ Shortage", "🔺 Surplus")))</f>
        <v/>
      </c>
      <c r="K115" s="18" t="inlineStr">
        <is>
          <t>Bar &amp; dining napkins</t>
        </is>
      </c>
    </row>
    <row r="116" ht="21" customHeight="1">
      <c r="A116" s="19" t="inlineStr">
        <is>
          <t>PKG-010</t>
        </is>
      </c>
      <c r="B116" s="20" t="inlineStr">
        <is>
          <t>Takeout Cup Carriers (2-Cup / 4-Cup)</t>
        </is>
      </c>
      <c r="C116" s="21" t="inlineStr">
        <is>
          <t>Pack (50s)</t>
        </is>
      </c>
      <c r="D116" s="22" t="n">
        <v>110</v>
      </c>
      <c r="E116" s="23" t="n">
        <v>3</v>
      </c>
      <c r="F116" s="13" t="n"/>
      <c r="G116" s="24">
        <f>IF(ISBLANK(F116), "", F116 - E116)</f>
        <v/>
      </c>
      <c r="H116" s="25">
        <f>IF(ISBLANK(F116), "", G116 * D116)</f>
        <v/>
      </c>
      <c r="I116" s="26">
        <f>IF(ISBLANK(F116), "", F116 * D116)</f>
        <v/>
      </c>
      <c r="J116" s="27">
        <f>IF(ISBLANK(F116), "⏳ Pending", IF(G116=0, "✅ Match", IF(G116&lt;0, "⚠️ Shortage", "🔺 Surplus")))</f>
        <v/>
      </c>
      <c r="K116" s="28" t="inlineStr">
        <is>
          <t>Kraft takeout holders</t>
        </is>
      </c>
    </row>
    <row r="117" ht="21" customHeight="1">
      <c r="A117" s="8" t="inlineStr">
        <is>
          <t>PKG-011</t>
        </is>
      </c>
      <c r="B117" s="9" t="inlineStr">
        <is>
          <t>Thermal POS Receipt Paper Rolls 58mm/80mm</t>
        </is>
      </c>
      <c r="C117" s="10" t="inlineStr">
        <is>
          <t>Rolls</t>
        </is>
      </c>
      <c r="D117" s="11" t="n">
        <v>30</v>
      </c>
      <c r="E117" s="12" t="n">
        <v>10</v>
      </c>
      <c r="F117" s="13" t="n"/>
      <c r="G117" s="14">
        <f>IF(ISBLANK(F117), "", F117 - E117)</f>
        <v/>
      </c>
      <c r="H117" s="15">
        <f>IF(ISBLANK(F117), "", G117 * D117)</f>
        <v/>
      </c>
      <c r="I117" s="16">
        <f>IF(ISBLANK(F117), "", F117 * D117)</f>
        <v/>
      </c>
      <c r="J117" s="17">
        <f>IF(ISBLANK(F117), "⏳ Pending", IF(G117=0, "✅ Match", IF(G117&lt;0, "⚠️ Shortage", "🔺 Surplus")))</f>
        <v/>
      </c>
      <c r="K117" s="18" t="inlineStr">
        <is>
          <t>Cashier receipt printer</t>
        </is>
      </c>
    </row>
    <row r="118" ht="22" customHeight="1">
      <c r="A118" s="29" t="inlineStr">
        <is>
          <t>Subtotal — Cups, Lids &amp; Packaging Disposables:</t>
        </is>
      </c>
      <c r="B118" s="30" t="n"/>
      <c r="C118" s="30" t="n"/>
      <c r="D118" s="30" t="inlineStr"/>
      <c r="E118" s="31">
        <f>SUM(E107:E117)</f>
        <v/>
      </c>
      <c r="F118" s="31">
        <f>SUM(F107:F117)</f>
        <v/>
      </c>
      <c r="G118" s="32">
        <f>SUM(G107:G117)</f>
        <v/>
      </c>
      <c r="H118" s="33">
        <f>SUM(H107:H117)</f>
        <v/>
      </c>
      <c r="I118" s="34">
        <f>SUM(I107:I117)</f>
        <v/>
      </c>
      <c r="J118" s="30" t="inlineStr"/>
      <c r="K118" s="30" t="inlineStr"/>
    </row>
    <row r="120" ht="24" customHeight="1">
      <c r="A120" s="43" t="inlineStr">
        <is>
          <t xml:space="preserve">  🥄  10. BAR TOOLS, UTENSILS &amp; SMALLWARES</t>
        </is>
      </c>
    </row>
    <row r="121" ht="21" customHeight="1">
      <c r="A121" s="8" t="inlineStr">
        <is>
          <t>TOO-001</t>
        </is>
      </c>
      <c r="B121" s="9" t="inlineStr">
        <is>
          <t>Steaming Pitcher Matte Black 600ml</t>
        </is>
      </c>
      <c r="C121" s="10" t="inlineStr">
        <is>
          <t>Piece</t>
        </is>
      </c>
      <c r="D121" s="11" t="n">
        <v>2180</v>
      </c>
      <c r="E121" s="12" t="n">
        <v>1</v>
      </c>
      <c r="F121" s="13" t="n"/>
      <c r="G121" s="14">
        <f>IF(ISBLANK(F121), "", F121 - E121)</f>
        <v/>
      </c>
      <c r="H121" s="15">
        <f>IF(ISBLANK(F121), "", G121 * D121)</f>
        <v/>
      </c>
      <c r="I121" s="16">
        <f>IF(ISBLANK(F121), "", F121 * D121)</f>
        <v/>
      </c>
      <c r="J121" s="17">
        <f>IF(ISBLANK(F121), "⏳ Pending", IF(G121=0, "✅ Match", IF(G121&lt;0, "⚠️ Shortage", "🔺 Surplus")))</f>
        <v/>
      </c>
      <c r="K121" s="18" t="inlineStr">
        <is>
          <t>Espresso milk frothing</t>
        </is>
      </c>
    </row>
    <row r="122" ht="21" customHeight="1">
      <c r="A122" s="19" t="inlineStr">
        <is>
          <t>TOO-002</t>
        </is>
      </c>
      <c r="B122" s="20" t="inlineStr">
        <is>
          <t>Acrylic Measuring Jigger 10ml / 20ml</t>
        </is>
      </c>
      <c r="C122" s="21" t="inlineStr">
        <is>
          <t>Piece</t>
        </is>
      </c>
      <c r="D122" s="22" t="n">
        <v>60</v>
      </c>
      <c r="E122" s="23" t="n">
        <v>2</v>
      </c>
      <c r="F122" s="13" t="n"/>
      <c r="G122" s="24">
        <f>IF(ISBLANK(F122), "", F122 - E122)</f>
        <v/>
      </c>
      <c r="H122" s="25">
        <f>IF(ISBLANK(F122), "", G122 * D122)</f>
        <v/>
      </c>
      <c r="I122" s="26">
        <f>IF(ISBLANK(F122), "", F122 * D122)</f>
        <v/>
      </c>
      <c r="J122" s="27">
        <f>IF(ISBLANK(F122), "⏳ Pending", IF(G122=0, "✅ Match", IF(G122&lt;0, "⚠️ Shortage", "🔺 Surplus")))</f>
        <v/>
      </c>
      <c r="K122" s="28" t="inlineStr">
        <is>
          <t>Syrup &amp; flavor measurement</t>
        </is>
      </c>
    </row>
    <row r="123" ht="21" customHeight="1">
      <c r="A123" s="8" t="inlineStr">
        <is>
          <t>TOO-003</t>
        </is>
      </c>
      <c r="B123" s="9" t="inlineStr">
        <is>
          <t>Bar Spoon Glossy Stainless</t>
        </is>
      </c>
      <c r="C123" s="10" t="inlineStr">
        <is>
          <t>Piece</t>
        </is>
      </c>
      <c r="D123" s="11" t="n">
        <v>110</v>
      </c>
      <c r="E123" s="12" t="n">
        <v>1</v>
      </c>
      <c r="F123" s="13" t="n"/>
      <c r="G123" s="14">
        <f>IF(ISBLANK(F123), "", F123 - E123)</f>
        <v/>
      </c>
      <c r="H123" s="15">
        <f>IF(ISBLANK(F123), "", G123 * D123)</f>
        <v/>
      </c>
      <c r="I123" s="16">
        <f>IF(ISBLANK(F123), "", F123 * D123)</f>
        <v/>
      </c>
      <c r="J123" s="17">
        <f>IF(ISBLANK(F123), "⏳ Pending", IF(G123=0, "✅ Match", IF(G123&lt;0, "⚠️ Shortage", "🔺 Surplus")))</f>
        <v/>
      </c>
      <c r="K123" s="18" t="inlineStr">
        <is>
          <t>Long spiral bar stirring spoon</t>
        </is>
      </c>
    </row>
    <row r="124" ht="21" customHeight="1">
      <c r="A124" s="19" t="inlineStr">
        <is>
          <t>TOO-004</t>
        </is>
      </c>
      <c r="B124" s="20" t="inlineStr">
        <is>
          <t>Heavy Duty Silicone Bar Mat</t>
        </is>
      </c>
      <c r="C124" s="21" t="inlineStr">
        <is>
          <t>Piece</t>
        </is>
      </c>
      <c r="D124" s="22" t="n">
        <v>320</v>
      </c>
      <c r="E124" s="23" t="n">
        <v>1</v>
      </c>
      <c r="F124" s="13" t="n"/>
      <c r="G124" s="24">
        <f>IF(ISBLANK(F124), "", F124 - E124)</f>
        <v/>
      </c>
      <c r="H124" s="25">
        <f>IF(ISBLANK(F124), "", G124 * D124)</f>
        <v/>
      </c>
      <c r="I124" s="26">
        <f>IF(ISBLANK(F124), "", F124 * D124)</f>
        <v/>
      </c>
      <c r="J124" s="27">
        <f>IF(ISBLANK(F124), "⏳ Pending", IF(G124=0, "✅ Match", IF(G124&lt;0, "⚠️ Shortage", "🔺 Surplus")))</f>
        <v/>
      </c>
      <c r="K124" s="28" t="inlineStr">
        <is>
          <t>Counter drip station</t>
        </is>
      </c>
    </row>
    <row r="125" ht="21" customHeight="1">
      <c r="A125" s="8" t="inlineStr">
        <is>
          <t>TOO-005</t>
        </is>
      </c>
      <c r="B125" s="9" t="inlineStr">
        <is>
          <t>Stainless Cocktail Shaker 1L</t>
        </is>
      </c>
      <c r="C125" s="10" t="inlineStr">
        <is>
          <t>Piece</t>
        </is>
      </c>
      <c r="D125" s="11" t="n">
        <v>250</v>
      </c>
      <c r="E125" s="12" t="n">
        <v>1</v>
      </c>
      <c r="F125" s="13" t="n"/>
      <c r="G125" s="14">
        <f>IF(ISBLANK(F125), "", F125 - E125)</f>
        <v/>
      </c>
      <c r="H125" s="15">
        <f>IF(ISBLANK(F125), "", G125 * D125)</f>
        <v/>
      </c>
      <c r="I125" s="16">
        <f>IF(ISBLANK(F125), "", F125 * D125)</f>
        <v/>
      </c>
      <c r="J125" s="17">
        <f>IF(ISBLANK(F125), "⏳ Pending", IF(G125=0, "✅ Match", IF(G125&lt;0, "⚠️ Shortage", "🔺 Surplus")))</f>
        <v/>
      </c>
      <c r="K125" s="18" t="inlineStr">
        <is>
          <t>Large iced shaken drinks</t>
        </is>
      </c>
    </row>
    <row r="126" ht="21" customHeight="1">
      <c r="A126" s="19" t="inlineStr">
        <is>
          <t>TOO-006</t>
        </is>
      </c>
      <c r="B126" s="20" t="inlineStr">
        <is>
          <t>Stainless Cocktail Shaker 700ml</t>
        </is>
      </c>
      <c r="C126" s="21" t="inlineStr">
        <is>
          <t>Piece</t>
        </is>
      </c>
      <c r="D126" s="22" t="n">
        <v>210</v>
      </c>
      <c r="E126" s="23" t="n">
        <v>1</v>
      </c>
      <c r="F126" s="13" t="n"/>
      <c r="G126" s="24">
        <f>IF(ISBLANK(F126), "", F126 - E126)</f>
        <v/>
      </c>
      <c r="H126" s="25">
        <f>IF(ISBLANK(F126), "", G126 * D126)</f>
        <v/>
      </c>
      <c r="I126" s="26">
        <f>IF(ISBLANK(F126), "", F126 * D126)</f>
        <v/>
      </c>
      <c r="J126" s="27">
        <f>IF(ISBLANK(F126), "⏳ Pending", IF(G126=0, "✅ Match", IF(G126&lt;0, "⚠️ Shortage", "🔺 Surplus")))</f>
        <v/>
      </c>
      <c r="K126" s="28" t="inlineStr">
        <is>
          <t>Medium iced shaken drinks</t>
        </is>
      </c>
    </row>
    <row r="127" ht="21" customHeight="1">
      <c r="A127" s="8" t="inlineStr">
        <is>
          <t>TOO-007</t>
        </is>
      </c>
      <c r="B127" s="9" t="inlineStr">
        <is>
          <t>White Sauce Squeeze Bottles</t>
        </is>
      </c>
      <c r="C127" s="10" t="inlineStr">
        <is>
          <t>Piece</t>
        </is>
      </c>
      <c r="D127" s="11" t="n">
        <v>40</v>
      </c>
      <c r="E127" s="12" t="n">
        <v>4</v>
      </c>
      <c r="F127" s="13" t="n"/>
      <c r="G127" s="14">
        <f>IF(ISBLANK(F127), "", F127 - E127)</f>
        <v/>
      </c>
      <c r="H127" s="15">
        <f>IF(ISBLANK(F127), "", G127 * D127)</f>
        <v/>
      </c>
      <c r="I127" s="16">
        <f>IF(ISBLANK(F127), "", F127 * D127)</f>
        <v/>
      </c>
      <c r="J127" s="17">
        <f>IF(ISBLANK(F127), "⏳ Pending", IF(G127=0, "✅ Match", IF(G127&lt;0, "⚠️ Shortage", "🔺 Surplus")))</f>
        <v/>
      </c>
      <c r="K127" s="18" t="inlineStr">
        <is>
          <t>Fudge &amp; sauce squeeze dispensers</t>
        </is>
      </c>
    </row>
    <row r="128" ht="21" customHeight="1">
      <c r="A128" s="19" t="inlineStr">
        <is>
          <t>TOO-008</t>
        </is>
      </c>
      <c r="B128" s="20" t="inlineStr">
        <is>
          <t>Fliptop Wide Storage Containers 1.8L</t>
        </is>
      </c>
      <c r="C128" s="21" t="inlineStr">
        <is>
          <t>Piece</t>
        </is>
      </c>
      <c r="D128" s="22" t="n">
        <v>84</v>
      </c>
      <c r="E128" s="23" t="n">
        <v>6</v>
      </c>
      <c r="F128" s="13" t="n"/>
      <c r="G128" s="24">
        <f>IF(ISBLANK(F128), "", F128 - E128)</f>
        <v/>
      </c>
      <c r="H128" s="25">
        <f>IF(ISBLANK(F128), "", G128 * D128)</f>
        <v/>
      </c>
      <c r="I128" s="26">
        <f>IF(ISBLANK(F128), "", F128 * D128)</f>
        <v/>
      </c>
      <c r="J128" s="27">
        <f>IF(ISBLANK(F128), "⏳ Pending", IF(G128=0, "✅ Match", IF(G128&lt;0, "⚠️ Shortage", "🔺 Surplus")))</f>
        <v/>
      </c>
      <c r="K128" s="28" t="inlineStr">
        <is>
          <t>Powders &amp; topping canisters</t>
        </is>
      </c>
    </row>
    <row r="129" ht="21" customHeight="1">
      <c r="A129" s="8" t="inlineStr">
        <is>
          <t>TOO-009</t>
        </is>
      </c>
      <c r="B129" s="9" t="inlineStr">
        <is>
          <t>Stackable Food Keeper Square Small</t>
        </is>
      </c>
      <c r="C129" s="10" t="inlineStr">
        <is>
          <t>Piece</t>
        </is>
      </c>
      <c r="D129" s="11" t="n">
        <v>50</v>
      </c>
      <c r="E129" s="12" t="n">
        <v>1</v>
      </c>
      <c r="F129" s="13" t="n"/>
      <c r="G129" s="14">
        <f>IF(ISBLANK(F129), "", F129 - E129)</f>
        <v/>
      </c>
      <c r="H129" s="15">
        <f>IF(ISBLANK(F129), "", G129 * D129)</f>
        <v/>
      </c>
      <c r="I129" s="16">
        <f>IF(ISBLANK(F129), "", F129 * D129)</f>
        <v/>
      </c>
      <c r="J129" s="17">
        <f>IF(ISBLANK(F129), "⏳ Pending", IF(G129=0, "✅ Match", IF(G129&lt;0, "⚠️ Shortage", "🔺 Surplus")))</f>
        <v/>
      </c>
      <c r="K129" s="18" t="inlineStr">
        <is>
          <t>Small ingredient storage</t>
        </is>
      </c>
    </row>
    <row r="130" ht="21" customHeight="1">
      <c r="A130" s="19" t="inlineStr">
        <is>
          <t>TOO-010</t>
        </is>
      </c>
      <c r="B130" s="20" t="inlineStr">
        <is>
          <t>Stainless Mixing Bowl</t>
        </is>
      </c>
      <c r="C130" s="21" t="inlineStr">
        <is>
          <t>Piece</t>
        </is>
      </c>
      <c r="D130" s="22" t="n">
        <v>260</v>
      </c>
      <c r="E130" s="23" t="n">
        <v>1</v>
      </c>
      <c r="F130" s="13" t="n"/>
      <c r="G130" s="24">
        <f>IF(ISBLANK(F130), "", F130 - E130)</f>
        <v/>
      </c>
      <c r="H130" s="25">
        <f>IF(ISBLANK(F130), "", G130 * D130)</f>
        <v/>
      </c>
      <c r="I130" s="26">
        <f>IF(ISBLANK(F130), "", F130 * D130)</f>
        <v/>
      </c>
      <c r="J130" s="27">
        <f>IF(ISBLANK(F130), "⏳ Pending", IF(G130=0, "✅ Match", IF(G130&lt;0, "⚠️ Shortage", "🔺 Surplus")))</f>
        <v/>
      </c>
      <c r="K130" s="28" t="inlineStr">
        <is>
          <t>Whipping &amp; cream mixing</t>
        </is>
      </c>
    </row>
    <row r="131" ht="21" customHeight="1">
      <c r="A131" s="8" t="inlineStr">
        <is>
          <t>TOO-011</t>
        </is>
      </c>
      <c r="B131" s="9" t="inlineStr">
        <is>
          <t>Ceramic Matcha Bowl / Chawan</t>
        </is>
      </c>
      <c r="C131" s="10" t="inlineStr">
        <is>
          <t>Piece</t>
        </is>
      </c>
      <c r="D131" s="11" t="n">
        <v>90</v>
      </c>
      <c r="E131" s="12" t="n">
        <v>1</v>
      </c>
      <c r="F131" s="13" t="n"/>
      <c r="G131" s="14">
        <f>IF(ISBLANK(F131), "", F131 - E131)</f>
        <v/>
      </c>
      <c r="H131" s="15">
        <f>IF(ISBLANK(F131), "", G131 * D131)</f>
        <v/>
      </c>
      <c r="I131" s="16">
        <f>IF(ISBLANK(F131), "", F131 * D131)</f>
        <v/>
      </c>
      <c r="J131" s="17">
        <f>IF(ISBLANK(F131), "⏳ Pending", IF(G131=0, "✅ Match", IF(G131&lt;0, "⚠️ Shortage", "🔺 Surplus")))</f>
        <v/>
      </c>
      <c r="K131" s="18" t="inlineStr">
        <is>
          <t>Matcha whisking bowl</t>
        </is>
      </c>
    </row>
    <row r="132" ht="21" customHeight="1">
      <c r="A132" s="19" t="inlineStr">
        <is>
          <t>TOO-012</t>
        </is>
      </c>
      <c r="B132" s="20" t="inlineStr">
        <is>
          <t>Espresso Shot Glass (Double Spout)</t>
        </is>
      </c>
      <c r="C132" s="21" t="inlineStr">
        <is>
          <t>Piece</t>
        </is>
      </c>
      <c r="D132" s="22" t="n">
        <v>22</v>
      </c>
      <c r="E132" s="23" t="n">
        <v>1</v>
      </c>
      <c r="F132" s="13" t="n"/>
      <c r="G132" s="24">
        <f>IF(ISBLANK(F132), "", F132 - E132)</f>
        <v/>
      </c>
      <c r="H132" s="25">
        <f>IF(ISBLANK(F132), "", G132 * D132)</f>
        <v/>
      </c>
      <c r="I132" s="26">
        <f>IF(ISBLANK(F132), "", F132 * D132)</f>
        <v/>
      </c>
      <c r="J132" s="27">
        <f>IF(ISBLANK(F132), "⏳ Pending", IF(G132=0, "✅ Match", IF(G132&lt;0, "⚠️ Shortage", "🔺 Surplus")))</f>
        <v/>
      </c>
      <c r="K132" s="28" t="inlineStr">
        <is>
          <t>Espresso calibration shot glass</t>
        </is>
      </c>
    </row>
    <row r="133" ht="21" customHeight="1">
      <c r="A133" s="8" t="inlineStr">
        <is>
          <t>TOO-013</t>
        </is>
      </c>
      <c r="B133" s="9" t="inlineStr">
        <is>
          <t>Chef Kitchen Knife Stainless</t>
        </is>
      </c>
      <c r="C133" s="10" t="inlineStr">
        <is>
          <t>Piece</t>
        </is>
      </c>
      <c r="D133" s="11" t="n">
        <v>192</v>
      </c>
      <c r="E133" s="12" t="n">
        <v>1</v>
      </c>
      <c r="F133" s="13" t="n"/>
      <c r="G133" s="14">
        <f>IF(ISBLANK(F133), "", F133 - E133)</f>
        <v/>
      </c>
      <c r="H133" s="15">
        <f>IF(ISBLANK(F133), "", G133 * D133)</f>
        <v/>
      </c>
      <c r="I133" s="16">
        <f>IF(ISBLANK(F133), "", F133 * D133)</f>
        <v/>
      </c>
      <c r="J133" s="17">
        <f>IF(ISBLANK(F133), "⏳ Pending", IF(G133=0, "✅ Match", IF(G133&lt;0, "⚠️ Shortage", "🔺 Surplus")))</f>
        <v/>
      </c>
      <c r="K133" s="18" t="inlineStr">
        <is>
          <t>Fruit slicing &amp; pastry cutting</t>
        </is>
      </c>
    </row>
    <row r="134" ht="21" customHeight="1">
      <c r="A134" s="19" t="inlineStr">
        <is>
          <t>TOO-014</t>
        </is>
      </c>
      <c r="B134" s="20" t="inlineStr">
        <is>
          <t>Heavy Duty Cutting Board</t>
        </is>
      </c>
      <c r="C134" s="21" t="inlineStr">
        <is>
          <t>Piece</t>
        </is>
      </c>
      <c r="D134" s="22" t="n">
        <v>130</v>
      </c>
      <c r="E134" s="23" t="n">
        <v>1</v>
      </c>
      <c r="F134" s="13" t="n"/>
      <c r="G134" s="24">
        <f>IF(ISBLANK(F134), "", F134 - E134)</f>
        <v/>
      </c>
      <c r="H134" s="25">
        <f>IF(ISBLANK(F134), "", G134 * D134)</f>
        <v/>
      </c>
      <c r="I134" s="26">
        <f>IF(ISBLANK(F134), "", F134 * D134)</f>
        <v/>
      </c>
      <c r="J134" s="27">
        <f>IF(ISBLANK(F134), "⏳ Pending", IF(G134=0, "✅ Match", IF(G134&lt;0, "⚠️ Shortage", "🔺 Surplus")))</f>
        <v/>
      </c>
      <c r="K134" s="28" t="inlineStr">
        <is>
          <t>Food safe chopping board</t>
        </is>
      </c>
    </row>
    <row r="135" ht="21" customHeight="1">
      <c r="A135" s="8" t="inlineStr">
        <is>
          <t>TOO-015</t>
        </is>
      </c>
      <c r="B135" s="9" t="inlineStr">
        <is>
          <t>Can Opener Heavy Duty</t>
        </is>
      </c>
      <c r="C135" s="10" t="inlineStr">
        <is>
          <t>Piece</t>
        </is>
      </c>
      <c r="D135" s="11" t="n">
        <v>129</v>
      </c>
      <c r="E135" s="12" t="n">
        <v>1</v>
      </c>
      <c r="F135" s="13" t="n"/>
      <c r="G135" s="14">
        <f>IF(ISBLANK(F135), "", F135 - E135)</f>
        <v/>
      </c>
      <c r="H135" s="15">
        <f>IF(ISBLANK(F135), "", G135 * D135)</f>
        <v/>
      </c>
      <c r="I135" s="16">
        <f>IF(ISBLANK(F135), "", F135 * D135)</f>
        <v/>
      </c>
      <c r="J135" s="17">
        <f>IF(ISBLANK(F135), "⏳ Pending", IF(G135=0, "✅ Match", IF(G135&lt;0, "⚠️ Shortage", "🔺 Surplus")))</f>
        <v/>
      </c>
      <c r="K135" s="18" t="inlineStr">
        <is>
          <t>Milk &amp; can opener</t>
        </is>
      </c>
    </row>
    <row r="136" ht="21" customHeight="1">
      <c r="A136" s="19" t="inlineStr">
        <is>
          <t>TOO-016</t>
        </is>
      </c>
      <c r="B136" s="20" t="inlineStr">
        <is>
          <t>Utility Kitchen Scissors</t>
        </is>
      </c>
      <c r="C136" s="21" t="inlineStr">
        <is>
          <t>Piece</t>
        </is>
      </c>
      <c r="D136" s="22" t="n">
        <v>119</v>
      </c>
      <c r="E136" s="23" t="n">
        <v>1</v>
      </c>
      <c r="F136" s="13" t="n"/>
      <c r="G136" s="24">
        <f>IF(ISBLANK(F136), "", F136 - E136)</f>
        <v/>
      </c>
      <c r="H136" s="25">
        <f>IF(ISBLANK(F136), "", G136 * D136)</f>
        <v/>
      </c>
      <c r="I136" s="26">
        <f>IF(ISBLANK(F136), "", F136 * D136)</f>
        <v/>
      </c>
      <c r="J136" s="27">
        <f>IF(ISBLANK(F136), "⏳ Pending", IF(G136=0, "✅ Match", IF(G136&lt;0, "⚠️ Shortage", "🔺 Surplus")))</f>
        <v/>
      </c>
      <c r="K136" s="28" t="inlineStr">
        <is>
          <t>Pack opening &amp; prep</t>
        </is>
      </c>
    </row>
    <row r="137" ht="21" customHeight="1">
      <c r="A137" s="8" t="inlineStr">
        <is>
          <t>TOO-017</t>
        </is>
      </c>
      <c r="B137" s="9" t="inlineStr">
        <is>
          <t>Non-Slip Serving Trays</t>
        </is>
      </c>
      <c r="C137" s="10" t="inlineStr">
        <is>
          <t>Pack (2s)</t>
        </is>
      </c>
      <c r="D137" s="11" t="n">
        <v>156</v>
      </c>
      <c r="E137" s="12" t="n">
        <v>2</v>
      </c>
      <c r="F137" s="13" t="n"/>
      <c r="G137" s="14">
        <f>IF(ISBLANK(F137), "", F137 - E137)</f>
        <v/>
      </c>
      <c r="H137" s="15">
        <f>IF(ISBLANK(F137), "", G137 * D137)</f>
        <v/>
      </c>
      <c r="I137" s="16">
        <f>IF(ISBLANK(F137), "", F137 * D137)</f>
        <v/>
      </c>
      <c r="J137" s="17">
        <f>IF(ISBLANK(F137), "⏳ Pending", IF(G137=0, "✅ Match", IF(G137&lt;0, "⚠️ Shortage", "🔺 Surplus")))</f>
        <v/>
      </c>
      <c r="K137" s="18" t="inlineStr">
        <is>
          <t>Dine-in tray service</t>
        </is>
      </c>
    </row>
    <row r="138" ht="21" customHeight="1">
      <c r="A138" s="19" t="inlineStr">
        <is>
          <t>TOO-018</t>
        </is>
      </c>
      <c r="B138" s="20" t="inlineStr">
        <is>
          <t>Condiment Organizer 4-Compartment</t>
        </is>
      </c>
      <c r="C138" s="21" t="inlineStr">
        <is>
          <t>Piece</t>
        </is>
      </c>
      <c r="D138" s="22" t="n">
        <v>420</v>
      </c>
      <c r="E138" s="23" t="n">
        <v>1</v>
      </c>
      <c r="F138" s="13" t="n"/>
      <c r="G138" s="24">
        <f>IF(ISBLANK(F138), "", F138 - E138)</f>
        <v/>
      </c>
      <c r="H138" s="25">
        <f>IF(ISBLANK(F138), "", G138 * D138)</f>
        <v/>
      </c>
      <c r="I138" s="26">
        <f>IF(ISBLANK(F138), "", F138 * D138)</f>
        <v/>
      </c>
      <c r="J138" s="27">
        <f>IF(ISBLANK(F138), "⏳ Pending", IF(G138=0, "✅ Match", IF(G138&lt;0, "⚠️ Shortage", "🔺 Surplus")))</f>
        <v/>
      </c>
      <c r="K138" s="28" t="inlineStr">
        <is>
          <t>Straw &amp; napkin counter caddy</t>
        </is>
      </c>
    </row>
    <row r="139" ht="21" customHeight="1">
      <c r="A139" s="8" t="inlineStr">
        <is>
          <t>TOO-019</t>
        </is>
      </c>
      <c r="B139" s="9" t="inlineStr">
        <is>
          <t>Cup &amp; Lid Dispenser Holder</t>
        </is>
      </c>
      <c r="C139" s="10" t="inlineStr">
        <is>
          <t>Piece</t>
        </is>
      </c>
      <c r="D139" s="11" t="n">
        <v>498</v>
      </c>
      <c r="E139" s="12" t="n">
        <v>1</v>
      </c>
      <c r="F139" s="13" t="n"/>
      <c r="G139" s="14">
        <f>IF(ISBLANK(F139), "", F139 - E139)</f>
        <v/>
      </c>
      <c r="H139" s="15">
        <f>IF(ISBLANK(F139), "", G139 * D139)</f>
        <v/>
      </c>
      <c r="I139" s="16">
        <f>IF(ISBLANK(F139), "", F139 * D139)</f>
        <v/>
      </c>
      <c r="J139" s="17">
        <f>IF(ISBLANK(F139), "⏳ Pending", IF(G139=0, "✅ Match", IF(G139&lt;0, "⚠️ Shortage", "🔺 Surplus")))</f>
        <v/>
      </c>
      <c r="K139" s="18" t="inlineStr">
        <is>
          <t>Countertop cup carousel</t>
        </is>
      </c>
    </row>
    <row r="140" ht="22" customHeight="1">
      <c r="A140" s="29" t="inlineStr">
        <is>
          <t>Subtotal — Bar Tools, Utensils &amp; Smallwares:</t>
        </is>
      </c>
      <c r="B140" s="30" t="n"/>
      <c r="C140" s="30" t="n"/>
      <c r="D140" s="30" t="inlineStr"/>
      <c r="E140" s="31">
        <f>SUM(E121:E139)</f>
        <v/>
      </c>
      <c r="F140" s="31">
        <f>SUM(F121:F139)</f>
        <v/>
      </c>
      <c r="G140" s="32">
        <f>SUM(G121:G139)</f>
        <v/>
      </c>
      <c r="H140" s="33">
        <f>SUM(H121:H139)</f>
        <v/>
      </c>
      <c r="I140" s="34">
        <f>SUM(I121:I139)</f>
        <v/>
      </c>
      <c r="J140" s="30" t="inlineStr"/>
      <c r="K140" s="30" t="inlineStr"/>
    </row>
    <row r="142" ht="24" customHeight="1">
      <c r="A142" s="44" t="inlineStr">
        <is>
          <t xml:space="preserve">  ⚙️  11. EQUIPMENT &amp; STORE FIXTURES</t>
        </is>
      </c>
    </row>
    <row r="143" ht="21" customHeight="1">
      <c r="A143" s="8" t="inlineStr">
        <is>
          <t>EQP-001</t>
        </is>
      </c>
      <c r="B143" s="9" t="inlineStr">
        <is>
          <t>Electric Hand Mixer (High Power)</t>
        </is>
      </c>
      <c r="C143" s="10" t="inlineStr">
        <is>
          <t>Piece</t>
        </is>
      </c>
      <c r="D143" s="11" t="n">
        <v>1510</v>
      </c>
      <c r="E143" s="12" t="n">
        <v>1</v>
      </c>
      <c r="F143" s="13" t="n"/>
      <c r="G143" s="14">
        <f>IF(ISBLANK(F143), "", F143 - E143)</f>
        <v/>
      </c>
      <c r="H143" s="15">
        <f>IF(ISBLANK(F143), "", G143 * D143)</f>
        <v/>
      </c>
      <c r="I143" s="16">
        <f>IF(ISBLANK(F143), "", F143 * D143)</f>
        <v/>
      </c>
      <c r="J143" s="17">
        <f>IF(ISBLANK(F143), "⏳ Pending", IF(G143=0, "✅ Match", IF(G143&lt;0, "⚠️ Shortage", "🔺 Surplus")))</f>
        <v/>
      </c>
      <c r="K143" s="18" t="inlineStr">
        <is>
          <t>Cheese foam / whipping</t>
        </is>
      </c>
    </row>
    <row r="144" ht="21" customHeight="1">
      <c r="A144" s="19" t="inlineStr">
        <is>
          <t>EQP-002</t>
        </is>
      </c>
      <c r="B144" s="20" t="inlineStr">
        <is>
          <t>AWD DO3 Handheld Drink Frother</t>
        </is>
      </c>
      <c r="C144" s="21" t="inlineStr">
        <is>
          <t>Piece</t>
        </is>
      </c>
      <c r="D144" s="22" t="n">
        <v>310</v>
      </c>
      <c r="E144" s="23" t="n">
        <v>1</v>
      </c>
      <c r="F144" s="13" t="n"/>
      <c r="G144" s="24">
        <f>IF(ISBLANK(F144), "", F144 - E144)</f>
        <v/>
      </c>
      <c r="H144" s="25">
        <f>IF(ISBLANK(F144), "", G144 * D144)</f>
        <v/>
      </c>
      <c r="I144" s="26">
        <f>IF(ISBLANK(F144), "", F144 * D144)</f>
        <v/>
      </c>
      <c r="J144" s="27">
        <f>IF(ISBLANK(F144), "⏳ Pending", IF(G144=0, "✅ Match", IF(G144&lt;0, "⚠️ Shortage", "🔺 Surplus")))</f>
        <v/>
      </c>
      <c r="K144" s="28" t="inlineStr">
        <is>
          <t>Single cup frothing</t>
        </is>
      </c>
    </row>
    <row r="145" ht="21" customHeight="1">
      <c r="A145" s="8" t="inlineStr">
        <is>
          <t>EQP-003</t>
        </is>
      </c>
      <c r="B145" s="9" t="inlineStr">
        <is>
          <t>Commercial Insulated Ice Box Chest</t>
        </is>
      </c>
      <c r="C145" s="10" t="inlineStr">
        <is>
          <t>Piece</t>
        </is>
      </c>
      <c r="D145" s="11" t="n">
        <v>784</v>
      </c>
      <c r="E145" s="12" t="n">
        <v>1</v>
      </c>
      <c r="F145" s="13" t="n"/>
      <c r="G145" s="14">
        <f>IF(ISBLANK(F145), "", F145 - E145)</f>
        <v/>
      </c>
      <c r="H145" s="15">
        <f>IF(ISBLANK(F145), "", G145 * D145)</f>
        <v/>
      </c>
      <c r="I145" s="16">
        <f>IF(ISBLANK(F145), "", F145 * D145)</f>
        <v/>
      </c>
      <c r="J145" s="17">
        <f>IF(ISBLANK(F145), "⏳ Pending", IF(G145=0, "✅ Match", IF(G145&lt;0, "⚠️ Shortage", "🔺 Surplus")))</f>
        <v/>
      </c>
      <c r="K145" s="18" t="inlineStr">
        <is>
          <t>Bar ice storage container</t>
        </is>
      </c>
    </row>
    <row r="146" ht="21" customHeight="1">
      <c r="A146" s="19" t="inlineStr">
        <is>
          <t>EQP-004</t>
        </is>
      </c>
      <c r="B146" s="20" t="inlineStr">
        <is>
          <t>Heavy Duty Steel Cash Box with Lock</t>
        </is>
      </c>
      <c r="C146" s="21" t="inlineStr">
        <is>
          <t>Piece</t>
        </is>
      </c>
      <c r="D146" s="22" t="n">
        <v>530</v>
      </c>
      <c r="E146" s="23" t="n">
        <v>1</v>
      </c>
      <c r="F146" s="13" t="n"/>
      <c r="G146" s="24">
        <f>IF(ISBLANK(F146), "", F146 - E146)</f>
        <v/>
      </c>
      <c r="H146" s="25">
        <f>IF(ISBLANK(F146), "", G146 * D146)</f>
        <v/>
      </c>
      <c r="I146" s="26">
        <f>IF(ISBLANK(F146), "", F146 * D146)</f>
        <v/>
      </c>
      <c r="J146" s="27">
        <f>IF(ISBLANK(F146), "⏳ Pending", IF(G146=0, "✅ Match", IF(G146&lt;0, "⚠️ Shortage", "🔺 Surplus")))</f>
        <v/>
      </c>
      <c r="K146" s="28" t="inlineStr">
        <is>
          <t>POS register petty cash box</t>
        </is>
      </c>
    </row>
    <row r="147" ht="21" customHeight="1">
      <c r="A147" s="8" t="inlineStr">
        <is>
          <t>EQP-005</t>
        </is>
      </c>
      <c r="B147" s="9" t="inlineStr">
        <is>
          <t>Akari Heavy Duty Power Adaptor</t>
        </is>
      </c>
      <c r="C147" s="10" t="inlineStr">
        <is>
          <t>Piece</t>
        </is>
      </c>
      <c r="D147" s="11" t="n">
        <v>69</v>
      </c>
      <c r="E147" s="12" t="n">
        <v>1</v>
      </c>
      <c r="F147" s="13" t="n"/>
      <c r="G147" s="14">
        <f>IF(ISBLANK(F147), "", F147 - E147)</f>
        <v/>
      </c>
      <c r="H147" s="15">
        <f>IF(ISBLANK(F147), "", G147 * D147)</f>
        <v/>
      </c>
      <c r="I147" s="16">
        <f>IF(ISBLANK(F147), "", F147 * D147)</f>
        <v/>
      </c>
      <c r="J147" s="17">
        <f>IF(ISBLANK(F147), "⏳ Pending", IF(G147=0, "✅ Match", IF(G147&lt;0, "⚠️ Shortage", "🔺 Surplus")))</f>
        <v/>
      </c>
      <c r="K147" s="18" t="inlineStr">
        <is>
          <t>Appliance surge plug</t>
        </is>
      </c>
    </row>
    <row r="148" ht="21" customHeight="1">
      <c r="A148" s="19" t="inlineStr">
        <is>
          <t>EQP-006</t>
        </is>
      </c>
      <c r="B148" s="20" t="inlineStr">
        <is>
          <t>Universal Surge Protected Power Strip</t>
        </is>
      </c>
      <c r="C148" s="21" t="inlineStr">
        <is>
          <t>Piece</t>
        </is>
      </c>
      <c r="D148" s="22" t="n">
        <v>298</v>
      </c>
      <c r="E148" s="23" t="n">
        <v>1</v>
      </c>
      <c r="F148" s="13" t="n"/>
      <c r="G148" s="24">
        <f>IF(ISBLANK(F148), "", F148 - E148)</f>
        <v/>
      </c>
      <c r="H148" s="25">
        <f>IF(ISBLANK(F148), "", G148 * D148)</f>
        <v/>
      </c>
      <c r="I148" s="26">
        <f>IF(ISBLANK(F148), "", F148 * D148)</f>
        <v/>
      </c>
      <c r="J148" s="27">
        <f>IF(ISBLANK(F148), "⏳ Pending", IF(G148=0, "✅ Match", IF(G148&lt;0, "⚠️ Shortage", "🔺 Surplus")))</f>
        <v/>
      </c>
      <c r="K148" s="28" t="inlineStr">
        <is>
          <t>POS &amp; equipment power strip</t>
        </is>
      </c>
    </row>
    <row r="149" ht="21" customHeight="1">
      <c r="A149" s="8" t="inlineStr">
        <is>
          <t>EQP-007</t>
        </is>
      </c>
      <c r="B149" s="9" t="inlineStr">
        <is>
          <t>Barista Recipe Manual &amp; Store Record Book</t>
        </is>
      </c>
      <c r="C149" s="10" t="inlineStr">
        <is>
          <t>Piece</t>
        </is>
      </c>
      <c r="D149" s="11" t="n">
        <v>72</v>
      </c>
      <c r="E149" s="12" t="n">
        <v>1</v>
      </c>
      <c r="F149" s="13" t="n"/>
      <c r="G149" s="14">
        <f>IF(ISBLANK(F149), "", F149 - E149)</f>
        <v/>
      </c>
      <c r="H149" s="15">
        <f>IF(ISBLANK(F149), "", G149 * D149)</f>
        <v/>
      </c>
      <c r="I149" s="16">
        <f>IF(ISBLANK(F149), "", F149 * D149)</f>
        <v/>
      </c>
      <c r="J149" s="17">
        <f>IF(ISBLANK(F149), "⏳ Pending", IF(G149=0, "✅ Match", IF(G149&lt;0, "⚠️ Shortage", "🔺 Surplus")))</f>
        <v/>
      </c>
      <c r="K149" s="18" t="inlineStr">
        <is>
          <t>Official store logbook</t>
        </is>
      </c>
    </row>
    <row r="150" ht="21" customHeight="1">
      <c r="A150" s="19" t="inlineStr">
        <is>
          <t>EQP-008</t>
        </is>
      </c>
      <c r="B150" s="20" t="inlineStr">
        <is>
          <t>Commercial Foot-Pedal Trash Can 30L</t>
        </is>
      </c>
      <c r="C150" s="21" t="inlineStr">
        <is>
          <t>Piece</t>
        </is>
      </c>
      <c r="D150" s="22" t="n">
        <v>850</v>
      </c>
      <c r="E150" s="23" t="n">
        <v>1</v>
      </c>
      <c r="F150" s="13" t="n"/>
      <c r="G150" s="24">
        <f>IF(ISBLANK(F150), "", F150 - E150)</f>
        <v/>
      </c>
      <c r="H150" s="25">
        <f>IF(ISBLANK(F150), "", G150 * D150)</f>
        <v/>
      </c>
      <c r="I150" s="26">
        <f>IF(ISBLANK(F150), "", F150 * D150)</f>
        <v/>
      </c>
      <c r="J150" s="27">
        <f>IF(ISBLANK(F150), "⏳ Pending", IF(G150=0, "✅ Match", IF(G150&lt;0, "⚠️ Shortage", "🔺 Surplus")))</f>
        <v/>
      </c>
      <c r="K150" s="28" t="inlineStr">
        <is>
          <t>Sanitary waste disposal</t>
        </is>
      </c>
    </row>
    <row r="151" ht="22" customHeight="1">
      <c r="A151" s="29" t="inlineStr">
        <is>
          <t>Subtotal — Equipment &amp; Store Fixtures:</t>
        </is>
      </c>
      <c r="B151" s="30" t="n"/>
      <c r="C151" s="30" t="n"/>
      <c r="D151" s="30" t="inlineStr"/>
      <c r="E151" s="31">
        <f>SUM(E143:E150)</f>
        <v/>
      </c>
      <c r="F151" s="31">
        <f>SUM(F143:F150)</f>
        <v/>
      </c>
      <c r="G151" s="32">
        <f>SUM(G143:G150)</f>
        <v/>
      </c>
      <c r="H151" s="33">
        <f>SUM(H143:H150)</f>
        <v/>
      </c>
      <c r="I151" s="34">
        <f>SUM(I143:I150)</f>
        <v/>
      </c>
      <c r="J151" s="30" t="inlineStr"/>
      <c r="K151" s="30" t="inlineStr"/>
    </row>
    <row r="153" ht="24" customHeight="1">
      <c r="A153" s="45" t="inlineStr">
        <is>
          <t xml:space="preserve">  🧼  12. CLEANING, HYGIENE &amp; MAINTENANCE</t>
        </is>
      </c>
    </row>
    <row r="154" ht="21" customHeight="1">
      <c r="A154" s="8" t="inlineStr">
        <is>
          <t>CLN-001</t>
        </is>
      </c>
      <c r="B154" s="9" t="inlineStr">
        <is>
          <t>Dr. Coffee Espresso Descaling Powder</t>
        </is>
      </c>
      <c r="C154" s="10" t="inlineStr">
        <is>
          <t>Bot</t>
        </is>
      </c>
      <c r="D154" s="11" t="n">
        <v>1000</v>
      </c>
      <c r="E154" s="12" t="n">
        <v>1</v>
      </c>
      <c r="F154" s="13" t="n"/>
      <c r="G154" s="14">
        <f>IF(ISBLANK(F154), "", F154 - E154)</f>
        <v/>
      </c>
      <c r="H154" s="15">
        <f>IF(ISBLANK(F154), "", G154 * D154)</f>
        <v/>
      </c>
      <c r="I154" s="16">
        <f>IF(ISBLANK(F154), "", F154 * D154)</f>
        <v/>
      </c>
      <c r="J154" s="17">
        <f>IF(ISBLANK(F154), "⏳ Pending", IF(G154=0, "✅ Match", IF(G154&lt;0, "⚠️ Shortage", "🔺 Surplus")))</f>
        <v/>
      </c>
      <c r="K154" s="18" t="inlineStr">
        <is>
          <t>Espresso boiler descaling</t>
        </is>
      </c>
    </row>
    <row r="155" ht="21" customHeight="1">
      <c r="A155" s="19" t="inlineStr">
        <is>
          <t>CLN-002</t>
        </is>
      </c>
      <c r="B155" s="20" t="inlineStr">
        <is>
          <t>Dr. Coffee Milk Line Deep Clean Solution</t>
        </is>
      </c>
      <c r="C155" s="21" t="inlineStr">
        <is>
          <t>Bot</t>
        </is>
      </c>
      <c r="D155" s="22" t="n">
        <v>2800</v>
      </c>
      <c r="E155" s="23" t="n">
        <v>1</v>
      </c>
      <c r="F155" s="13" t="n"/>
      <c r="G155" s="24">
        <f>IF(ISBLANK(F155), "", F155 - E155)</f>
        <v/>
      </c>
      <c r="H155" s="25">
        <f>IF(ISBLANK(F155), "", G155 * D155)</f>
        <v/>
      </c>
      <c r="I155" s="26">
        <f>IF(ISBLANK(F155), "", F155 * D155)</f>
        <v/>
      </c>
      <c r="J155" s="27">
        <f>IF(ISBLANK(F155), "⏳ Pending", IF(G155=0, "✅ Match", IF(G155&lt;0, "⚠️ Shortage", "🔺 Surplus")))</f>
        <v/>
      </c>
      <c r="K155" s="28" t="inlineStr">
        <is>
          <t>Steam wand &amp; pipe sanitizer</t>
        </is>
      </c>
    </row>
    <row r="156" ht="21" customHeight="1">
      <c r="A156" s="8" t="inlineStr">
        <is>
          <t>CLN-003</t>
        </is>
      </c>
      <c r="B156" s="9" t="inlineStr">
        <is>
          <t>Microfiber Bar Towels / Cleaning Cloths</t>
        </is>
      </c>
      <c r="C156" s="10" t="inlineStr">
        <is>
          <t>Piece</t>
        </is>
      </c>
      <c r="D156" s="11" t="n">
        <v>115</v>
      </c>
      <c r="E156" s="12" t="n">
        <v>2</v>
      </c>
      <c r="F156" s="13" t="n"/>
      <c r="G156" s="14">
        <f>IF(ISBLANK(F156), "", F156 - E156)</f>
        <v/>
      </c>
      <c r="H156" s="15">
        <f>IF(ISBLANK(F156), "", G156 * D156)</f>
        <v/>
      </c>
      <c r="I156" s="16">
        <f>IF(ISBLANK(F156), "", F156 * D156)</f>
        <v/>
      </c>
      <c r="J156" s="17">
        <f>IF(ISBLANK(F156), "⏳ Pending", IF(G156=0, "✅ Match", IF(G156&lt;0, "⚠️ Shortage", "🔺 Surplus")))</f>
        <v/>
      </c>
      <c r="K156" s="18" t="inlineStr">
        <is>
          <t>Bar wipe &amp; steam wand towel</t>
        </is>
      </c>
    </row>
    <row r="157" ht="21" customHeight="1">
      <c r="A157" s="19" t="inlineStr">
        <is>
          <t>CLN-004</t>
        </is>
      </c>
      <c r="B157" s="20" t="inlineStr">
        <is>
          <t>Heavy Duty Black Garbage Bags 26x32 (50s)</t>
        </is>
      </c>
      <c r="C157" s="21" t="inlineStr">
        <is>
          <t>Pack (50s)</t>
        </is>
      </c>
      <c r="D157" s="22" t="n">
        <v>300</v>
      </c>
      <c r="E157" s="23" t="n">
        <v>1</v>
      </c>
      <c r="F157" s="13" t="n"/>
      <c r="G157" s="24">
        <f>IF(ISBLANK(F157), "", F157 - E157)</f>
        <v/>
      </c>
      <c r="H157" s="25">
        <f>IF(ISBLANK(F157), "", G157 * D157)</f>
        <v/>
      </c>
      <c r="I157" s="26">
        <f>IF(ISBLANK(F157), "", F157 * D157)</f>
        <v/>
      </c>
      <c r="J157" s="27">
        <f>IF(ISBLANK(F157), "⏳ Pending", IF(G157=0, "✅ Match", IF(G157&lt;0, "⚠️ Shortage", "🔺 Surplus")))</f>
        <v/>
      </c>
      <c r="K157" s="28" t="inlineStr">
        <is>
          <t>Waste bin liners</t>
        </is>
      </c>
    </row>
    <row r="158" ht="21" customHeight="1">
      <c r="A158" s="8" t="inlineStr">
        <is>
          <t>CLN-005</t>
        </is>
      </c>
      <c r="B158" s="9" t="inlineStr">
        <is>
          <t>Heavy Duty Packaging &amp; Masking Tape</t>
        </is>
      </c>
      <c r="C158" s="10" t="inlineStr">
        <is>
          <t>Piece</t>
        </is>
      </c>
      <c r="D158" s="11" t="n">
        <v>159</v>
      </c>
      <c r="E158" s="12" t="n">
        <v>1</v>
      </c>
      <c r="F158" s="13" t="n"/>
      <c r="G158" s="14">
        <f>IF(ISBLANK(F158), "", F158 - E158)</f>
        <v/>
      </c>
      <c r="H158" s="15">
        <f>IF(ISBLANK(F158), "", G158 * D158)</f>
        <v/>
      </c>
      <c r="I158" s="16">
        <f>IF(ISBLANK(F158), "", F158 * D158)</f>
        <v/>
      </c>
      <c r="J158" s="17">
        <f>IF(ISBLANK(F158), "⏳ Pending", IF(G158=0, "✅ Match", IF(G158&lt;0, "⚠️ Shortage", "🔺 Surplus")))</f>
        <v/>
      </c>
      <c r="K158" s="18" t="inlineStr">
        <is>
          <t>Box sealing &amp; date labels</t>
        </is>
      </c>
    </row>
    <row r="159" ht="21" customHeight="1">
      <c r="A159" s="19" t="inlineStr">
        <is>
          <t>CLN-006</t>
        </is>
      </c>
      <c r="B159" s="20" t="inlineStr">
        <is>
          <t>Whiteboard Marker &amp; Shelf Label Pens</t>
        </is>
      </c>
      <c r="C159" s="21" t="inlineStr">
        <is>
          <t>Piece</t>
        </is>
      </c>
      <c r="D159" s="22" t="n">
        <v>64</v>
      </c>
      <c r="E159" s="23" t="n">
        <v>1</v>
      </c>
      <c r="F159" s="13" t="n"/>
      <c r="G159" s="24">
        <f>IF(ISBLANK(F159), "", F159 - E159)</f>
        <v/>
      </c>
      <c r="H159" s="25">
        <f>IF(ISBLANK(F159), "", G159 * D159)</f>
        <v/>
      </c>
      <c r="I159" s="26">
        <f>IF(ISBLANK(F159), "", F159 * D159)</f>
        <v/>
      </c>
      <c r="J159" s="27">
        <f>IF(ISBLANK(F159), "⏳ Pending", IF(G159=0, "✅ Match", IF(G159&lt;0, "⚠️ Shortage", "🔺 Surplus")))</f>
        <v/>
      </c>
      <c r="K159" s="28" t="inlineStr">
        <is>
          <t>Store menu board &amp; dating</t>
        </is>
      </c>
    </row>
    <row r="160" ht="21" customHeight="1">
      <c r="A160" s="8" t="inlineStr">
        <is>
          <t>CLN-007</t>
        </is>
      </c>
      <c r="B160" s="9" t="inlineStr">
        <is>
          <t>Store Promotional Balloons &amp; Hand Pump</t>
        </is>
      </c>
      <c r="C160" s="10" t="inlineStr">
        <is>
          <t>Set</t>
        </is>
      </c>
      <c r="D160" s="11" t="n">
        <v>104</v>
      </c>
      <c r="E160" s="12" t="n">
        <v>1</v>
      </c>
      <c r="F160" s="13" t="n"/>
      <c r="G160" s="14">
        <f>IF(ISBLANK(F160), "", F160 - E160)</f>
        <v/>
      </c>
      <c r="H160" s="15">
        <f>IF(ISBLANK(F160), "", G160 * D160)</f>
        <v/>
      </c>
      <c r="I160" s="16">
        <f>IF(ISBLANK(F160), "", F160 * D160)</f>
        <v/>
      </c>
      <c r="J160" s="17">
        <f>IF(ISBLANK(F160), "⏳ Pending", IF(G160=0, "✅ Match", IF(G160&lt;0, "⚠️ Shortage", "🔺 Surplus")))</f>
        <v/>
      </c>
      <c r="K160" s="18" t="inlineStr">
        <is>
          <t>Marketing &amp; events kit</t>
        </is>
      </c>
    </row>
    <row r="161" ht="22" customHeight="1">
      <c r="A161" s="29" t="inlineStr">
        <is>
          <t>Subtotal — Cleaning, Hygiene &amp; Maintenance:</t>
        </is>
      </c>
      <c r="B161" s="30" t="n"/>
      <c r="C161" s="30" t="n"/>
      <c r="D161" s="30" t="inlineStr"/>
      <c r="E161" s="31">
        <f>SUM(E154:E160)</f>
        <v/>
      </c>
      <c r="F161" s="31">
        <f>SUM(F154:F160)</f>
        <v/>
      </c>
      <c r="G161" s="32">
        <f>SUM(G154:G160)</f>
        <v/>
      </c>
      <c r="H161" s="33">
        <f>SUM(H154:H160)</f>
        <v/>
      </c>
      <c r="I161" s="34">
        <f>SUM(I154:I160)</f>
        <v/>
      </c>
      <c r="J161" s="30" t="inlineStr"/>
      <c r="K161" s="30" t="inlineStr"/>
    </row>
    <row r="163" ht="26" customHeight="1">
      <c r="A163" s="46" t="inlineStr">
        <is>
          <t>🏆 GRAND TOTAL (AUDIT SUMMARY):</t>
        </is>
      </c>
      <c r="B163" s="47" t="n"/>
      <c r="C163" s="47" t="n"/>
      <c r="D163" s="47" t="n"/>
      <c r="E163" s="48">
        <f>SUM(E15, E24, E46, E61, E72, E85, E97, E104, E118, E140, E151, E161)</f>
        <v/>
      </c>
      <c r="F163" s="48">
        <f>SUM(F15, F24, F46, F61, F72, F85, F97, F104, F118, F140, F151, F161)</f>
        <v/>
      </c>
      <c r="G163" s="49">
        <f>SUM(G15, G24, G46, G61, G72, G85, G97, G104, G118, G140, G151, G161)</f>
        <v/>
      </c>
      <c r="H163" s="50">
        <f>SUM(H15, H24, H46, H61, H72, H85, H97, H104, H118, H140, H151, H161)</f>
        <v/>
      </c>
      <c r="I163" s="51">
        <f>SUM(I15, I24, I46, I61, I72, I85, I97, I104, I118, I140, I151, I161)</f>
        <v/>
      </c>
      <c r="J163" s="47" t="n"/>
      <c r="K163" s="47" t="n"/>
    </row>
    <row r="166">
      <c r="B166" s="52" t="inlineStr">
        <is>
          <t>Conducted By (Barista Signature): ____________________</t>
        </is>
      </c>
      <c r="F166" s="52" t="inlineStr">
        <is>
          <t>Audited &amp; Accepted By (Manager Signature): ____________________</t>
        </is>
      </c>
    </row>
    <row r="167">
      <c r="B167" s="53" t="inlineStr">
        <is>
          <t>Time Completed: ____________________</t>
        </is>
      </c>
      <c r="F167" s="53" t="inlineStr">
        <is>
          <t>Date Approved: ____________________</t>
        </is>
      </c>
    </row>
  </sheetData>
  <mergeCells count="33">
    <mergeCell ref="A48:K48"/>
    <mergeCell ref="A118:C118"/>
    <mergeCell ref="A46:C46"/>
    <mergeCell ref="A142:K142"/>
    <mergeCell ref="E5:F5"/>
    <mergeCell ref="A163:C163"/>
    <mergeCell ref="A1:K1"/>
    <mergeCell ref="A104:C104"/>
    <mergeCell ref="E4:F4"/>
    <mergeCell ref="A151:C151"/>
    <mergeCell ref="A85:C85"/>
    <mergeCell ref="A153:K153"/>
    <mergeCell ref="A87:K87"/>
    <mergeCell ref="A97:C97"/>
    <mergeCell ref="A99:K99"/>
    <mergeCell ref="A140:C140"/>
    <mergeCell ref="A72:C72"/>
    <mergeCell ref="A120:K120"/>
    <mergeCell ref="A161:C161"/>
    <mergeCell ref="A74:K74"/>
    <mergeCell ref="A26:K26"/>
    <mergeCell ref="A5:B5"/>
    <mergeCell ref="A2:K2"/>
    <mergeCell ref="I5:J5"/>
    <mergeCell ref="A15:C15"/>
    <mergeCell ref="A24:C24"/>
    <mergeCell ref="A17:K17"/>
    <mergeCell ref="A8:K8"/>
    <mergeCell ref="A4:B4"/>
    <mergeCell ref="A106:K106"/>
    <mergeCell ref="I4:J4"/>
    <mergeCell ref="A61:C61"/>
    <mergeCell ref="A63:K63"/>
  </mergeCells>
  <conditionalFormatting sqref="G9:H160">
    <cfRule type="cellIs" priority="1" operator="lessThan" dxfId="0" stopIfTrue="1">
      <formula>0</formula>
    </cfRule>
    <cfRule type="cellIs" priority="2" operator="greaterThanOrEqual" dxfId="1" stopIfTrue="1">
      <formula>0</formula>
    </cfRule>
  </conditionalFormatting>
  <pageMargins left="0.75" right="0.75" top="1" bottom="1" header="0.5" footer="0.5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2026-09-15T03:50:53Z</dcterms:created>
  <dcterms:modified xsi:type="dcterms:W3CDTF">2026-09-15T03:50:54Z</dcterms:modified>
</cp:coreProperties>
</file>