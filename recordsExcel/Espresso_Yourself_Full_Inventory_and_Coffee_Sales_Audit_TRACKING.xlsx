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00" tabRatio="600" firstSheet="0" activeTab="0" autoFilterDateGrouping="1"/>
  </bookViews>
  <sheets>
    <sheet name="📋 Complete Inventory Audit" sheetId="1" state="visible" r:id="rId1"/>
    <sheet name="📦 Item Movement Tracker" sheetId="2" state="visible" r:id="rId2"/>
    <sheet name="📜 Stock Movement Ledger" sheetId="3" state="visible" r:id="rId3"/>
    <sheet name="☕ Beverage Sales &amp; Varianc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₱&quot;#,##0.00"/>
    <numFmt numFmtId="165" formatCode="&quot;₱&quot;#,##0.00;[Red]\(&quot;₱&quot;#,##0.00\);&quot;-&quot;"/>
    <numFmt numFmtId="166" formatCode="#,##0.##"/>
  </numFmts>
  <fonts count="50">
    <font>
      <name val="Calibri"/>
      <charset val="134"/>
      <color theme="1"/>
      <sz val="11"/>
      <scheme val="minor"/>
    </font>
    <font>
      <name val="Segoe UI"/>
      <charset val="134"/>
      <b val="1"/>
      <color rgb="FFFFFFFF"/>
      <sz val="16"/>
    </font>
    <font>
      <name val="Segoe UI"/>
      <charset val="134"/>
      <i val="1"/>
      <color rgb="FFE0D4C3"/>
      <sz val="10"/>
    </font>
    <font>
      <name val="Segoe UI"/>
      <charset val="134"/>
      <b val="1"/>
      <color rgb="FFFFFFFF"/>
      <sz val="10"/>
    </font>
    <font>
      <name val="Segoe UI"/>
      <charset val="134"/>
      <b val="1"/>
      <color rgb="FFFFFFFF"/>
      <sz val="11"/>
    </font>
    <font>
      <name val="Segoe UI"/>
      <charset val="134"/>
      <b val="1"/>
      <color rgb="FF555555"/>
      <sz val="9"/>
    </font>
    <font>
      <name val="Segoe UI"/>
      <charset val="134"/>
      <b val="1"/>
      <color rgb="FF1F1F1F"/>
      <sz val="10"/>
    </font>
    <font>
      <name val="Segoe UI"/>
      <charset val="134"/>
      <color rgb="FF1F1F1F"/>
      <sz val="10"/>
    </font>
    <font>
      <name val="Segoe UI"/>
      <charset val="134"/>
      <b val="1"/>
      <color rgb="FF0F5132"/>
      <sz val="10"/>
    </font>
    <font>
      <name val="Segoe UI"/>
      <charset val="134"/>
      <b val="1"/>
      <color rgb="FF084298"/>
      <sz val="10"/>
    </font>
    <font>
      <name val="Segoe UI"/>
      <charset val="134"/>
      <color rgb="FF6C757D"/>
      <sz val="10"/>
    </font>
    <font>
      <name val="Segoe UI"/>
      <charset val="134"/>
      <b val="1"/>
      <color rgb="FF4A2E1B"/>
      <sz val="9"/>
    </font>
    <font>
      <name val="Segoe UI"/>
      <charset val="134"/>
      <b val="1"/>
      <color rgb="FF2C1810"/>
      <sz val="11"/>
    </font>
    <font>
      <name val="Segoe UI"/>
      <charset val="134"/>
      <b val="1"/>
      <color rgb="FF084298"/>
      <sz val="12"/>
    </font>
    <font>
      <name val="Segoe UI"/>
      <charset val="134"/>
      <b val="1"/>
      <color rgb="FF0F5132"/>
      <sz val="12"/>
    </font>
    <font>
      <name val="Segoe UI"/>
      <charset val="134"/>
      <b val="1"/>
      <color rgb="FFFFFFFF"/>
      <sz val="12"/>
    </font>
    <font>
      <name val="Segoe UI"/>
      <charset val="134"/>
      <b val="1"/>
      <color rgb="FFFFFFFF"/>
      <sz val="9.5"/>
    </font>
    <font>
      <name val="Segoe UI"/>
      <charset val="134"/>
      <b val="1"/>
      <color rgb="FF000000"/>
      <sz val="10"/>
    </font>
    <font>
      <name val="Segoe UI"/>
      <charset val="134"/>
      <b val="1"/>
      <color rgb="FF004D40"/>
      <sz val="9"/>
    </font>
    <font>
      <name val="Segoe UI"/>
      <charset val="134"/>
      <b val="1"/>
      <color rgb="FFB71C1C"/>
      <sz val="9"/>
    </font>
    <font>
      <name val="Segoe UI"/>
      <charset val="134"/>
      <b val="1"/>
      <color rgb="FF1B5E20"/>
      <sz val="9"/>
    </font>
    <font>
      <name val="Segoe UI"/>
      <charset val="134"/>
      <b val="1"/>
      <color rgb="FFE65100"/>
      <sz val="9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egoe UI"/>
      <b val="1"/>
      <color rgb="00FFFFFF"/>
      <sz val="12"/>
    </font>
    <font>
      <name val="Segoe UI"/>
      <i val="1"/>
      <color rgb="00666666"/>
      <sz val="9"/>
    </font>
    <font>
      <name val="Segoe UI"/>
      <b val="1"/>
      <color rgb="00FFFFFF"/>
      <sz val="9.5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b val="1"/>
      <color rgb="00B71C1C"/>
      <sz val="9"/>
    </font>
    <font>
      <name val="Segoe UI"/>
      <b val="1"/>
      <color rgb="00004D40"/>
      <sz val="9"/>
    </font>
    <font>
      <name val="Segoe UI"/>
      <b val="1"/>
      <color rgb="001B5E20"/>
      <sz val="9"/>
    </font>
    <font>
      <name val="Segoe UI"/>
      <b val="1"/>
      <color rgb="00E65100"/>
      <sz val="9"/>
    </font>
  </fonts>
  <fills count="73">
    <fill>
      <patternFill/>
    </fill>
    <fill>
      <patternFill patternType="gray125"/>
    </fill>
    <fill>
      <patternFill patternType="solid">
        <fgColor rgb="FF2C1810"/>
        <bgColor rgb="FF2C1810"/>
      </patternFill>
    </fill>
    <fill>
      <patternFill patternType="solid">
        <fgColor rgb="FF4A2E1B"/>
        <bgColor rgb="FF4A2E1B"/>
      </patternFill>
    </fill>
    <fill>
      <patternFill patternType="solid">
        <fgColor rgb="FF3D2314"/>
        <bgColor rgb="FF3D2314"/>
      </patternFill>
    </fill>
    <fill>
      <patternFill patternType="solid">
        <fgColor rgb="FFFFFFFF"/>
        <bgColor rgb="FFFFFFFF"/>
      </patternFill>
    </fill>
    <fill>
      <patternFill patternType="solid">
        <fgColor rgb="FFD1E7DD"/>
        <bgColor rgb="FFD1E7DD"/>
      </patternFill>
    </fill>
    <fill>
      <patternFill patternType="solid">
        <fgColor rgb="FFFAF8F5"/>
        <bgColor rgb="FFFAF8F5"/>
      </patternFill>
    </fill>
    <fill>
      <patternFill patternType="solid">
        <fgColor rgb="FFCFE2FF"/>
        <bgColor rgb="FFCFE2FF"/>
      </patternFill>
    </fill>
    <fill>
      <patternFill patternType="solid">
        <fgColor rgb="FFF5F5F5"/>
        <bgColor rgb="FFF5F5F5"/>
      </patternFill>
    </fill>
    <fill>
      <patternFill patternType="solid">
        <fgColor rgb="FFF2EDE4"/>
        <bgColor rgb="FFF2EDE4"/>
      </patternFill>
    </fill>
    <fill>
      <patternFill patternType="solid">
        <fgColor rgb="FF1A4870"/>
        <bgColor rgb="FF1A4870"/>
      </patternFill>
    </fill>
    <fill>
      <patternFill patternType="solid">
        <fgColor rgb="FF6B3E26"/>
        <bgColor rgb="FF6B3E26"/>
      </patternFill>
    </fill>
    <fill>
      <patternFill patternType="solid">
        <fgColor rgb="FF7A3E26"/>
        <bgColor rgb="FF7A3E26"/>
      </patternFill>
    </fill>
    <fill>
      <patternFill patternType="solid">
        <fgColor rgb="FF2D5A27"/>
        <bgColor rgb="FF2D5A27"/>
      </patternFill>
    </fill>
    <fill>
      <patternFill patternType="solid">
        <fgColor rgb="FF7A5210"/>
        <bgColor rgb="FF7A5210"/>
      </patternFill>
    </fill>
    <fill>
      <patternFill patternType="solid">
        <fgColor rgb="FF1B4D3E"/>
        <bgColor rgb="FF1B4D3E"/>
      </patternFill>
    </fill>
    <fill>
      <patternFill patternType="solid">
        <fgColor rgb="FFE6DFD5"/>
        <bgColor rgb="FFE6DFD5"/>
      </patternFill>
    </fill>
    <fill>
      <patternFill patternType="solid">
        <fgColor rgb="FF4A3525"/>
        <bgColor rgb="FF4A3525"/>
      </patternFill>
    </fill>
    <fill>
      <patternFill patternType="solid">
        <fgColor rgb="FFE0F7FA"/>
        <bgColor rgb="FFE0F7FA"/>
      </patternFill>
    </fill>
    <fill>
      <patternFill patternType="solid">
        <fgColor rgb="FFB2EBF2"/>
        <bgColor rgb="FFB2EBF2"/>
      </patternFill>
    </fill>
    <fill>
      <patternFill patternType="solid">
        <fgColor rgb="FFFFEBEE"/>
        <bgColor rgb="FFFFEBEE"/>
      </patternFill>
    </fill>
    <fill>
      <patternFill patternType="solid">
        <fgColor rgb="FFFFCDD2"/>
        <bgColor rgb="FFFFCDD2"/>
      </patternFill>
    </fill>
    <fill>
      <patternFill patternType="solid">
        <fgColor rgb="FFF1F8E9"/>
        <bgColor rgb="FFF1F8E9"/>
      </patternFill>
    </fill>
    <fill>
      <patternFill patternType="solid">
        <fgColor rgb="FFC8E6C9"/>
        <bgColor rgb="FFC8E6C9"/>
      </patternFill>
    </fill>
    <fill>
      <patternFill patternType="solid">
        <fgColor rgb="FFFFF8E1"/>
        <bgColor rgb="FFFFF8E1"/>
      </patternFill>
    </fill>
    <fill>
      <patternFill patternType="solid">
        <fgColor rgb="FFFFE0B2"/>
        <bgColor rgb="FFFFE0B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C1810"/>
        <bgColor rgb="002C1810"/>
      </patternFill>
    </fill>
    <fill>
      <patternFill patternType="solid">
        <fgColor rgb="00F5F5F5"/>
        <bgColor rgb="00F5F5F5"/>
      </patternFill>
    </fill>
    <fill>
      <patternFill patternType="solid">
        <fgColor rgb="003D2314"/>
        <bgColor rgb="003D2314"/>
      </patternFill>
    </fill>
    <fill>
      <patternFill patternType="solid">
        <fgColor rgb="001B5E20"/>
        <bgColor rgb="001B5E20"/>
      </patternFill>
    </fill>
    <fill>
      <patternFill patternType="solid">
        <fgColor rgb="00B71C1C"/>
        <bgColor rgb="00B71C1C"/>
      </patternFill>
    </fill>
    <fill>
      <patternFill patternType="solid">
        <fgColor rgb="00E65100"/>
        <bgColor rgb="00E65100"/>
      </patternFill>
    </fill>
    <fill>
      <patternFill patternType="solid">
        <fgColor rgb="000D47A1"/>
        <bgColor rgb="000D47A1"/>
      </patternFill>
    </fill>
    <fill>
      <patternFill patternType="solid">
        <fgColor rgb="004A3525"/>
        <bgColor rgb="004A3525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B2EBF2"/>
        <bgColor rgb="00B2EBF2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</fills>
  <borders count="20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2C1810"/>
      </top>
      <bottom style="double">
        <color rgb="FF2C1810"/>
      </bottom>
      <diagonal/>
    </border>
    <border>
      <left style="thin">
        <color rgb="FFE0E0E0"/>
      </left>
      <right style="thin">
        <color rgb="FFE0E0E0"/>
      </right>
      <top style="medium">
        <color rgb="FF2C1810"/>
      </top>
      <bottom style="medium">
        <color rgb="FF2C181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2C1810"/>
      </top>
      <bottom/>
      <diagonal/>
    </border>
    <border>
      <left style="thin">
        <color rgb="00E0E0E0"/>
      </left>
      <right style="thin">
        <color rgb="00E0E0E0"/>
      </right>
      <top style="medium">
        <color rgb="002C1810"/>
      </top>
      <bottom style="medium">
        <color rgb="002C181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2C1810"/>
      </top>
      <bottom style="double">
        <color rgb="002C1810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27" borderId="7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8" applyAlignment="1">
      <alignment vertical="center"/>
    </xf>
    <xf numFmtId="0" fontId="28" fillId="0" borderId="8" applyAlignment="1">
      <alignment vertical="center"/>
    </xf>
    <xf numFmtId="0" fontId="29" fillId="0" borderId="9" applyAlignment="1">
      <alignment vertical="center"/>
    </xf>
    <xf numFmtId="0" fontId="29" fillId="0" borderId="0" applyAlignment="1">
      <alignment vertical="center"/>
    </xf>
    <xf numFmtId="0" fontId="30" fillId="28" borderId="10" applyAlignment="1">
      <alignment vertical="center"/>
    </xf>
    <xf numFmtId="0" fontId="31" fillId="29" borderId="11" applyAlignment="1">
      <alignment vertical="center"/>
    </xf>
    <xf numFmtId="0" fontId="32" fillId="29" borderId="10" applyAlignment="1">
      <alignment vertical="center"/>
    </xf>
    <xf numFmtId="0" fontId="33" fillId="30" borderId="12" applyAlignment="1">
      <alignment vertical="center"/>
    </xf>
    <xf numFmtId="0" fontId="34" fillId="0" borderId="13" applyAlignment="1">
      <alignment vertical="center"/>
    </xf>
    <xf numFmtId="0" fontId="35" fillId="0" borderId="14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8" fillId="33" borderId="0" applyAlignment="1">
      <alignment vertical="center"/>
    </xf>
    <xf numFmtId="0" fontId="39" fillId="34" borderId="0" applyAlignment="1">
      <alignment vertical="center"/>
    </xf>
    <xf numFmtId="0" fontId="40" fillId="35" borderId="0" applyAlignment="1">
      <alignment vertical="center"/>
    </xf>
    <xf numFmtId="0" fontId="40" fillId="36" borderId="0" applyAlignment="1">
      <alignment vertical="center"/>
    </xf>
    <xf numFmtId="0" fontId="39" fillId="37" borderId="0" applyAlignment="1">
      <alignment vertical="center"/>
    </xf>
    <xf numFmtId="0" fontId="39" fillId="38" borderId="0" applyAlignment="1">
      <alignment vertical="center"/>
    </xf>
    <xf numFmtId="0" fontId="40" fillId="39" borderId="0" applyAlignment="1">
      <alignment vertical="center"/>
    </xf>
    <xf numFmtId="0" fontId="40" fillId="40" borderId="0" applyAlignment="1">
      <alignment vertical="center"/>
    </xf>
    <xf numFmtId="0" fontId="39" fillId="41" borderId="0" applyAlignment="1">
      <alignment vertical="center"/>
    </xf>
    <xf numFmtId="0" fontId="39" fillId="42" borderId="0" applyAlignment="1">
      <alignment vertical="center"/>
    </xf>
    <xf numFmtId="0" fontId="40" fillId="43" borderId="0" applyAlignment="1">
      <alignment vertical="center"/>
    </xf>
    <xf numFmtId="0" fontId="40" fillId="44" borderId="0" applyAlignment="1">
      <alignment vertical="center"/>
    </xf>
    <xf numFmtId="0" fontId="39" fillId="45" borderId="0" applyAlignment="1">
      <alignment vertical="center"/>
    </xf>
    <xf numFmtId="0" fontId="39" fillId="46" borderId="0" applyAlignment="1">
      <alignment vertical="center"/>
    </xf>
    <xf numFmtId="0" fontId="40" fillId="47" borderId="0" applyAlignment="1">
      <alignment vertical="center"/>
    </xf>
    <xf numFmtId="0" fontId="40" fillId="48" borderId="0" applyAlignment="1">
      <alignment vertical="center"/>
    </xf>
    <xf numFmtId="0" fontId="39" fillId="49" borderId="0" applyAlignment="1">
      <alignment vertical="center"/>
    </xf>
    <xf numFmtId="0" fontId="39" fillId="50" borderId="0" applyAlignment="1">
      <alignment vertical="center"/>
    </xf>
    <xf numFmtId="0" fontId="40" fillId="51" borderId="0" applyAlignment="1">
      <alignment vertical="center"/>
    </xf>
    <xf numFmtId="0" fontId="40" fillId="52" borderId="0" applyAlignment="1">
      <alignment vertical="center"/>
    </xf>
    <xf numFmtId="0" fontId="39" fillId="53" borderId="0" applyAlignment="1">
      <alignment vertical="center"/>
    </xf>
    <xf numFmtId="0" fontId="39" fillId="54" borderId="0" applyAlignment="1">
      <alignment vertical="center"/>
    </xf>
    <xf numFmtId="0" fontId="40" fillId="55" borderId="0" applyAlignment="1">
      <alignment vertical="center"/>
    </xf>
    <xf numFmtId="0" fontId="40" fillId="56" borderId="0" applyAlignment="1">
      <alignment vertical="center"/>
    </xf>
    <xf numFmtId="0" fontId="39" fillId="57" borderId="0" applyAlignment="1">
      <alignment vertical="center"/>
    </xf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3" fontId="8" fillId="6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right" vertical="center"/>
    </xf>
    <xf numFmtId="3" fontId="6" fillId="7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3" fontId="9" fillId="8" borderId="2" applyAlignment="1" pivotButton="0" quotePrefix="0" xfId="0">
      <alignment horizontal="right" vertical="center"/>
    </xf>
    <xf numFmtId="3" fontId="10" fillId="9" borderId="2" applyAlignment="1" pivotButton="0" quotePrefix="0" xfId="0">
      <alignment horizontal="right" vertical="center"/>
    </xf>
    <xf numFmtId="0" fontId="11" fillId="10" borderId="3" applyAlignment="1" pivotButton="0" quotePrefix="0" xfId="0">
      <alignment horizontal="right" vertical="center"/>
    </xf>
    <xf numFmtId="0" fontId="0" fillId="0" borderId="3" pivotButton="0" quotePrefix="0" xfId="0"/>
    <xf numFmtId="3" fontId="9" fillId="10" borderId="3" applyAlignment="1" pivotButton="0" quotePrefix="0" xfId="0">
      <alignment horizontal="right" vertical="center"/>
    </xf>
    <xf numFmtId="164" fontId="8" fillId="10" borderId="3" applyAlignment="1" pivotButton="0" quotePrefix="0" xfId="0">
      <alignment horizontal="right" vertical="center"/>
    </xf>
    <xf numFmtId="0" fontId="4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/>
    </xf>
    <xf numFmtId="0" fontId="12" fillId="17" borderId="4" applyAlignment="1" pivotButton="0" quotePrefix="0" xfId="0">
      <alignment horizontal="right" vertical="center"/>
    </xf>
    <xf numFmtId="0" fontId="0" fillId="0" borderId="4" pivotButton="0" quotePrefix="0" xfId="0"/>
    <xf numFmtId="3" fontId="13" fillId="17" borderId="4" applyAlignment="1" pivotButton="0" quotePrefix="0" xfId="0">
      <alignment horizontal="right" vertical="center"/>
    </xf>
    <xf numFmtId="164" fontId="14" fillId="17" borderId="4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16" fillId="4" borderId="5" applyAlignment="1" pivotButton="0" quotePrefix="0" xfId="0">
      <alignment horizontal="center" vertical="center"/>
    </xf>
    <xf numFmtId="0" fontId="16" fillId="4" borderId="5" applyAlignment="1" pivotButton="0" quotePrefix="0" xfId="0">
      <alignment horizontal="right" vertical="center"/>
    </xf>
    <xf numFmtId="0" fontId="3" fillId="18" borderId="0" applyAlignment="1" pivotButton="0" quotePrefix="0" xfId="0">
      <alignment horizontal="left" vertical="center"/>
    </xf>
    <xf numFmtId="0" fontId="5" fillId="5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7" fillId="5" borderId="6" applyAlignment="1" pivotButton="0" quotePrefix="0" xfId="0">
      <alignment horizontal="center" vertical="center"/>
    </xf>
    <xf numFmtId="164" fontId="7" fillId="5" borderId="6" applyAlignment="1" pivotButton="0" quotePrefix="0" xfId="0">
      <alignment horizontal="right" vertical="center"/>
    </xf>
    <xf numFmtId="3" fontId="7" fillId="5" borderId="6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17" fillId="5" borderId="6" applyAlignment="1" pivotButton="0" quotePrefix="0" xfId="0">
      <alignment horizontal="right" vertical="center"/>
    </xf>
    <xf numFmtId="3" fontId="17" fillId="19" borderId="6" applyAlignment="1" pivotButton="0" quotePrefix="0" xfId="0">
      <alignment horizontal="right" vertical="center"/>
    </xf>
    <xf numFmtId="0" fontId="0" fillId="19" borderId="6" pivotButton="0" quotePrefix="0" xfId="0"/>
    <xf numFmtId="0" fontId="18" fillId="19" borderId="6" applyAlignment="1" pivotButton="0" quotePrefix="0" xfId="0">
      <alignment horizontal="center" vertical="center"/>
    </xf>
    <xf numFmtId="0" fontId="18" fillId="20" borderId="6" applyAlignment="1" pivotButton="0" quotePrefix="0" xfId="0">
      <alignment horizontal="center" vertical="center"/>
    </xf>
    <xf numFmtId="165" fontId="18" fillId="19" borderId="6" applyAlignment="1" pivotButton="0" quotePrefix="0" xfId="0">
      <alignment horizontal="right" vertical="center"/>
    </xf>
    <xf numFmtId="0" fontId="5" fillId="7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left" vertical="center"/>
    </xf>
    <xf numFmtId="0" fontId="7" fillId="7" borderId="6" applyAlignment="1" pivotButton="0" quotePrefix="0" xfId="0">
      <alignment horizontal="center" vertical="center"/>
    </xf>
    <xf numFmtId="164" fontId="7" fillId="7" borderId="6" applyAlignment="1" pivotButton="0" quotePrefix="0" xfId="0">
      <alignment horizontal="right" vertical="center"/>
    </xf>
    <xf numFmtId="3" fontId="7" fillId="7" borderId="6" applyAlignment="1" pivotButton="0" quotePrefix="0" xfId="0">
      <alignment horizontal="right" vertical="center"/>
    </xf>
    <xf numFmtId="3" fontId="6" fillId="7" borderId="6" applyAlignment="1" pivotButton="0" quotePrefix="0" xfId="0">
      <alignment horizontal="right" vertical="center"/>
    </xf>
    <xf numFmtId="3" fontId="17" fillId="21" borderId="6" applyAlignment="1" pivotButton="0" quotePrefix="0" xfId="0">
      <alignment horizontal="right" vertical="center"/>
    </xf>
    <xf numFmtId="0" fontId="0" fillId="21" borderId="6" pivotButton="0" quotePrefix="0" xfId="0"/>
    <xf numFmtId="0" fontId="19" fillId="21" borderId="6" applyAlignment="1" pivotButton="0" quotePrefix="0" xfId="0">
      <alignment horizontal="center" vertical="center"/>
    </xf>
    <xf numFmtId="0" fontId="19" fillId="22" borderId="6" applyAlignment="1" pivotButton="0" quotePrefix="0" xfId="0">
      <alignment horizontal="center" vertical="center"/>
    </xf>
    <xf numFmtId="165" fontId="19" fillId="21" borderId="6" applyAlignment="1" pivotButton="0" quotePrefix="0" xfId="0">
      <alignment horizontal="right" vertical="center"/>
    </xf>
    <xf numFmtId="4" fontId="6" fillId="7" borderId="6" applyAlignment="1" pivotButton="0" quotePrefix="0" xfId="0">
      <alignment horizontal="right" vertical="center"/>
    </xf>
    <xf numFmtId="3" fontId="17" fillId="7" borderId="6" applyAlignment="1" pivotButton="0" quotePrefix="0" xfId="0">
      <alignment horizontal="right" vertical="center"/>
    </xf>
    <xf numFmtId="3" fontId="17" fillId="23" borderId="6" applyAlignment="1" pivotButton="0" quotePrefix="0" xfId="0">
      <alignment horizontal="right" vertical="center"/>
    </xf>
    <xf numFmtId="0" fontId="0" fillId="23" borderId="6" pivotButton="0" quotePrefix="0" xfId="0"/>
    <xf numFmtId="0" fontId="20" fillId="23" borderId="6" applyAlignment="1" pivotButton="0" quotePrefix="0" xfId="0">
      <alignment horizontal="center" vertical="center"/>
    </xf>
    <xf numFmtId="0" fontId="20" fillId="24" borderId="6" applyAlignment="1" pivotButton="0" quotePrefix="0" xfId="0">
      <alignment horizontal="center" vertical="center"/>
    </xf>
    <xf numFmtId="165" fontId="20" fillId="23" borderId="6" applyAlignment="1" pivotButton="0" quotePrefix="0" xfId="0">
      <alignment horizontal="right" vertical="center"/>
    </xf>
    <xf numFmtId="4" fontId="6" fillId="5" borderId="6" applyAlignment="1" pivotButton="0" quotePrefix="0" xfId="0">
      <alignment horizontal="right" vertical="center"/>
    </xf>
    <xf numFmtId="3" fontId="17" fillId="25" borderId="6" applyAlignment="1" pivotButton="0" quotePrefix="0" xfId="0">
      <alignment horizontal="right" vertical="center"/>
    </xf>
    <xf numFmtId="0" fontId="0" fillId="25" borderId="6" pivotButton="0" quotePrefix="0" xfId="0"/>
    <xf numFmtId="0" fontId="21" fillId="25" borderId="6" applyAlignment="1" pivotButton="0" quotePrefix="0" xfId="0">
      <alignment horizontal="center" vertical="center"/>
    </xf>
    <xf numFmtId="0" fontId="21" fillId="26" borderId="6" applyAlignment="1" pivotButton="0" quotePrefix="0" xfId="0">
      <alignment horizontal="center" vertical="center"/>
    </xf>
    <xf numFmtId="165" fontId="21" fillId="25" borderId="6" applyAlignment="1" pivotButton="0" quotePrefix="0" xfId="0">
      <alignment horizontal="right" vertical="center"/>
    </xf>
    <xf numFmtId="2" fontId="17" fillId="21" borderId="6" applyAlignment="1" pivotButton="0" quotePrefix="0" xfId="0">
      <alignment horizontal="right" vertical="center"/>
    </xf>
    <xf numFmtId="2" fontId="17" fillId="19" borderId="6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164" fontId="7" fillId="5" borderId="6" applyAlignment="1" pivotButton="0" quotePrefix="0" xfId="0">
      <alignment horizontal="right" vertical="center"/>
    </xf>
    <xf numFmtId="165" fontId="18" fillId="19" borderId="6" applyAlignment="1" pivotButton="0" quotePrefix="0" xfId="0">
      <alignment horizontal="right" vertical="center"/>
    </xf>
    <xf numFmtId="164" fontId="7" fillId="7" borderId="6" applyAlignment="1" pivotButton="0" quotePrefix="0" xfId="0">
      <alignment horizontal="right" vertical="center"/>
    </xf>
    <xf numFmtId="165" fontId="19" fillId="21" borderId="6" applyAlignment="1" pivotButton="0" quotePrefix="0" xfId="0">
      <alignment horizontal="right" vertical="center"/>
    </xf>
    <xf numFmtId="165" fontId="20" fillId="23" borderId="6" applyAlignment="1" pivotButton="0" quotePrefix="0" xfId="0">
      <alignment horizontal="right" vertical="center"/>
    </xf>
    <xf numFmtId="165" fontId="21" fillId="25" borderId="6" applyAlignment="1" pivotButton="0" quotePrefix="0" xfId="0">
      <alignment horizontal="right" vertical="center"/>
    </xf>
    <xf numFmtId="0" fontId="41" fillId="58" borderId="0" applyAlignment="1" pivotButton="0" quotePrefix="0" xfId="0">
      <alignment horizontal="center" vertical="center" wrapText="1"/>
    </xf>
    <xf numFmtId="0" fontId="42" fillId="59" borderId="0" applyAlignment="1" pivotButton="0" quotePrefix="0" xfId="0">
      <alignment horizontal="center" vertical="center" wrapText="1"/>
    </xf>
    <xf numFmtId="0" fontId="43" fillId="60" borderId="0" applyAlignment="1" pivotButton="0" quotePrefix="0" xfId="0">
      <alignment horizontal="center" vertical="center" wrapText="1"/>
    </xf>
    <xf numFmtId="0" fontId="43" fillId="61" borderId="0" applyAlignment="1" pivotButton="0" quotePrefix="0" xfId="0">
      <alignment horizontal="center" vertical="center" wrapText="1"/>
    </xf>
    <xf numFmtId="0" fontId="43" fillId="62" borderId="0" applyAlignment="1" pivotButton="0" quotePrefix="0" xfId="0">
      <alignment horizontal="center" vertical="center" wrapText="1"/>
    </xf>
    <xf numFmtId="0" fontId="43" fillId="63" borderId="0" applyAlignment="1" pivotButton="0" quotePrefix="0" xfId="0">
      <alignment horizontal="center" vertical="center" wrapText="1"/>
    </xf>
    <xf numFmtId="0" fontId="43" fillId="64" borderId="0" applyAlignment="1" pivotButton="0" quotePrefix="0" xfId="0">
      <alignment horizontal="center" vertical="center" wrapText="1"/>
    </xf>
    <xf numFmtId="0" fontId="43" fillId="60" borderId="17" applyAlignment="1" pivotButton="0" quotePrefix="0" xfId="0">
      <alignment horizontal="center" vertical="center" wrapText="1"/>
    </xf>
    <xf numFmtId="0" fontId="43" fillId="60" borderId="17" applyAlignment="1" pivotButton="0" quotePrefix="0" xfId="0">
      <alignment horizontal="left" vertical="center"/>
    </xf>
    <xf numFmtId="0" fontId="44" fillId="65" borderId="18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8" applyAlignment="1" pivotButton="0" quotePrefix="0" xfId="0">
      <alignment horizontal="right" vertical="center"/>
    </xf>
    <xf numFmtId="0" fontId="45" fillId="66" borderId="18" applyAlignment="1" pivotButton="0" quotePrefix="0" xfId="0">
      <alignment horizontal="right" vertical="center"/>
    </xf>
    <xf numFmtId="0" fontId="46" fillId="67" borderId="18" applyAlignment="1" pivotButton="0" quotePrefix="0" xfId="0">
      <alignment horizontal="right" vertical="center"/>
    </xf>
    <xf numFmtId="0" fontId="0" fillId="68" borderId="18" applyAlignment="1" pivotButton="0" quotePrefix="0" xfId="0">
      <alignment horizontal="right" vertical="center"/>
    </xf>
    <xf numFmtId="0" fontId="45" fillId="0" borderId="18" applyAlignment="1" pivotButton="0" quotePrefix="0" xfId="0">
      <alignment horizontal="right" vertical="center"/>
    </xf>
    <xf numFmtId="0" fontId="47" fillId="69" borderId="18" applyAlignment="1" pivotButton="0" quotePrefix="0" xfId="0">
      <alignment horizontal="left" vertical="center"/>
    </xf>
    <xf numFmtId="0" fontId="46" fillId="70" borderId="18" applyAlignment="1" pivotButton="0" quotePrefix="0" xfId="0">
      <alignment horizontal="left" vertical="center"/>
    </xf>
    <xf numFmtId="0" fontId="48" fillId="71" borderId="18" applyAlignment="1" pivotButton="0" quotePrefix="0" xfId="0">
      <alignment horizontal="left" vertical="center"/>
    </xf>
    <xf numFmtId="0" fontId="49" fillId="72" borderId="18" applyAlignment="1" pivotButton="0" quotePrefix="0" xfId="0">
      <alignment horizontal="left" vertical="center"/>
    </xf>
    <xf numFmtId="0" fontId="44" fillId="65" borderId="0" applyAlignment="1" pivotButton="0" quotePrefix="0" xfId="0">
      <alignment horizontal="left" vertical="center"/>
    </xf>
    <xf numFmtId="166" fontId="44" fillId="65" borderId="19" applyAlignment="1" pivotButton="0" quotePrefix="0" xfId="0">
      <alignment horizontal="right" vertical="center"/>
    </xf>
    <xf numFmtId="0" fontId="44" fillId="65" borderId="19" applyAlignment="1" pivotButton="0" quotePrefix="0" xfId="0">
      <alignment horizontal="center" vertical="center" wrapText="1"/>
    </xf>
    <xf numFmtId="0" fontId="43" fillId="60" borderId="17" applyAlignment="1" pivotButton="0" quotePrefix="0" xfId="0">
      <alignment horizontal="right" vertical="center"/>
    </xf>
    <xf numFmtId="0" fontId="47" fillId="66" borderId="18" applyAlignment="1" pivotButton="0" quotePrefix="0" xfId="0">
      <alignment horizontal="center" vertical="center" wrapText="1"/>
    </xf>
    <xf numFmtId="0" fontId="47" fillId="0" borderId="18" applyAlignment="1" pivotButton="0" quotePrefix="0" xfId="0">
      <alignment horizontal="right" vertical="center"/>
    </xf>
    <xf numFmtId="0" fontId="46" fillId="67" borderId="18" applyAlignment="1" pivotButton="0" quotePrefix="0" xfId="0">
      <alignment horizontal="center" vertical="center" wrapText="1"/>
    </xf>
    <xf numFmtId="0" fontId="46" fillId="0" borderId="18" applyAlignment="1" pivotButton="0" quotePrefix="0" xfId="0">
      <alignment horizontal="right" vertical="center"/>
    </xf>
    <xf numFmtId="0" fontId="44" fillId="65" borderId="19" applyAlignment="1" pivotButton="0" quotePrefix="0" xfId="0">
      <alignment horizontal="left" vertical="center"/>
    </xf>
    <xf numFmtId="0" fontId="0" fillId="0" borderId="19" pivotButton="0" quotePrefix="0" xfId="0"/>
    <xf numFmtId="0" fontId="0" fillId="65" borderId="19" pivotButton="0" quotePrefix="0" xfId="0"/>
    <xf numFmtId="164" fontId="7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164" fontId="8" fillId="10" borderId="3" applyAlignment="1" pivotButton="0" quotePrefix="0" xfId="0">
      <alignment horizontal="right" vertical="center"/>
    </xf>
    <xf numFmtId="164" fontId="14" fillId="17" borderId="4" applyAlignment="1" pivotButton="0" quotePrefix="0" xfId="0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Inventory Auditor</author>
  </authors>
  <commentList>
    <comment ref="I6" authorId="0" shapeId="0">
      <text>
        <t>[TRANSPARENCY STOCK ADDITION LOG]:
• 2026-08-13: +500 pcs | Encoded by: Warehouse Logistics | Ref: DEL-AUG13-00
  Note: Initial store inventory replenishment batch
TOTAL TRANSFERRED: +500 pcs</t>
      </text>
    </comment>
    <comment ref="I7" authorId="0" shapeId="0">
      <text>
        <t>[TRANSPARENCY STOCK ADDITION LOG]:
• 2026-08-13: +400 pcs | Encoded by: Warehouse Logistics | Ref: DEL-AUG13-00
  Note: Initial store inventory replenishment batch
TOTAL TRANSFERRED: +400 pcs</t>
      </text>
    </comment>
    <comment ref="I8" authorId="0" shapeId="0">
      <text>
        <t>[TRANSPARENCY STOCK ADDITION LOG]:
• 2026-08-13: +750 pcs | Encoded by: Warehouse Logistics | Ref: DEL-AUG13-00
  Note: Initial store inventory replenishment batch
TOTAL TRANSFERRED: +750 pcs</t>
      </text>
    </comment>
    <comment ref="I10" authorId="0" shapeId="0">
      <text>
        <t>No additional restock transactions during audit cycle (0 Added).</t>
      </text>
    </comment>
    <comment ref="I11" authorId="0" shapeId="0">
      <text>
        <t>[TRANSPARENCY STOCK ADDITION LOG]:
• 2026-08-13: +1 pack (1kg) | Encoded by: Supervisor Sarah M. | Ref: DEL-AUG13-01
  Note: Supplier Delivery Delivery
TOTAL TRANSFERRED: +1 pack (1kg)</t>
      </text>
    </comment>
    <comment ref="I13" authorId="0" shapeId="0">
      <text>
        <t>[TRANSPARENCY STOCK ADDITION LOG]:
• 2026-08-24: +1 bottle | Encoded by: Store Mgr. Dave T. | Ref: DEL-AUG24-02
TOTAL TRANSFERRED: +1 bottle</t>
      </text>
    </comment>
    <comment ref="I14" authorId="0" shapeId="0">
      <text>
        <t>[TRANSPARENCY STOCK ADDITION LOG]:
• 2026-08-24: +1 bottle | Encoded by: Store Mgr. Dave T. | Ref: DEL-AUG24-02
TOTAL TRANSFERRED: +1 bottle</t>
      </text>
    </comment>
    <comment ref="I15" authorId="0" shapeId="0">
      <text>
        <t>[TRANSPARENCY STOCK ADDITION LOG]:
• 2026-09-02: +1 bottle | Encoded by: Barista Lead Mark R. | Ref: DEL-SEP02-03
  Note: 750 ML
TOTAL TRANSFERRED: +1 bottle</t>
      </text>
    </comment>
    <comment ref="I16" authorId="0" shapeId="0">
      <text>
        <t>[TRANSPARENCY STOCK ADDITION LOG]:
• 2026-08-24: +1 bottle | Encoded by: Store Mgr. Dave T. | Ref: DEL-AUG24-02
TOTAL TRANSFERRED: +1 bottle</t>
      </text>
    </comment>
    <comment ref="I17" authorId="0" shapeId="0">
      <text>
        <t>[TRANSPARENCY STOCK ADDITION LOG]:
• 2026-08-24: +1 bottle | Encoded by: Store Mgr. Dave T. | Ref: DEL-AUG24-02
TOTAL TRANSFERRED: +1 bottle</t>
      </text>
    </comment>
    <comment ref="I18" authorId="0" shapeId="0">
      <text>
        <t>[TRANSPARENCY STOCK ADDITION LOG]:
• 2026-08-24: +1 bottle | Encoded by: Store Mgr. Dave T. | Ref: DEL-AUG24-02
TOTAL TRANSFERRED: +1 bottle</t>
      </text>
    </comment>
    <comment ref="I19" authorId="0" shapeId="0">
      <text>
        <t>[TRANSPARENCY STOCK ADDITION LOG]:
• 2026-08-13: +1 bottle | Encoded by: Warehouse Logistics | Ref: DEL-AUG13-00
  Note: Initial store inventory replenishment batch
TOTAL TRANSFERRED: +1 bottle</t>
      </text>
    </comment>
    <comment ref="I20" authorId="0" shapeId="0">
      <text>
        <t>[TRANSPARENCY STOCK ADDITION LOG]:
• 2026-08-24: +1 bottle | Encoded by: Store Mgr. Dave T. | Ref: DEL-AUG24-02
TOTAL TRANSFERRED: +1 bottle</t>
      </text>
    </comment>
    <comment ref="I21" authorId="0" shapeId="0">
      <text>
        <t>[TRANSPARENCY STOCK ADDITION LOG]:
• 2026-08-24: +1 bottle | Encoded by: Store Mgr. Dave T. | Ref: DEL-AUG24-02
TOTAL TRANSFERRED: +1 bottle</t>
      </text>
    </comment>
    <comment ref="I22" authorId="0" shapeId="0">
      <text>
        <t>[TRANSPARENCY STOCK ADDITION LOG]:
• 2026-09-02: +1 gallon | Encoded by: Barista Lead Mark R. | Ref: DEL-SEP02-03
  Note: 1.89 LITER EACH
TOTAL TRANSFERRED: +1 gallon</t>
      </text>
    </comment>
    <comment ref="I23" authorId="0" shapeId="0">
      <text>
        <t>[TRANSPARENCY STOCK ADDITION LOG]:
• 2026-08-24: +1 gallon | Encoded by: Store Mgr. Dave T. | Ref: DEL-AUG24-02
TOTAL TRANSFERRED: +1 gallon</t>
      </text>
    </comment>
    <comment ref="I24" authorId="0" shapeId="0">
      <text>
        <t>[TRANSPARENCY STOCK ADDITION LOG]:
• 2026-08-24: +1 gallon | Encoded by: Store Mgr. Dave T. | Ref: DEL-AUG24-02
TOTAL TRANSFERRED: +1 gallon</t>
      </text>
    </comment>
    <comment ref="I26" authorId="0" shapeId="0">
      <text>
        <t>No additional restock transactions during audit cycle (0 Added).</t>
      </text>
    </comment>
    <comment ref="I27" authorId="0" shapeId="0">
      <text>
        <t>[TRANSPARENCY STOCK ADDITION LOG]:
• 2026-08-24: +1 bottle (1L) | Encoded by: Store Mgr. Dave T. | Ref: DEL-AUG24-02
TOTAL TRANSFERRED: +1 bottle (1L)</t>
      </text>
    </comment>
    <comment ref="I28" authorId="0" shapeId="0">
      <text>
        <t>No additional restock transactions during audit cycle (0 Added).</t>
      </text>
    </comment>
    <comment ref="I29" authorId="0" shapeId="0">
      <text>
        <t>[TRANSPARENCY STOCK ADDITION LOG]:
• 2026-08-24: +1 bottle (1L) | Encoded by: Store Mgr. Dave T. | Ref: DEL-AUG24-02
TOTAL TRANSFERRED: +1 bottle (1L)</t>
      </text>
    </comment>
    <comment ref="I30" authorId="0" shapeId="0">
      <text>
        <t>No additional restock transactions during audit cycle (0 Added).</t>
      </text>
    </comment>
    <comment ref="I31" authorId="0" shapeId="0">
      <text>
        <t>[TRANSPARENCY STOCK ADDITION LOG]:
• 2026-08-24: +1 bottle (1L) | Encoded by: Store Mgr. Dave T. | Ref: DEL-AUG24-02
TOTAL TRANSFERRED: +1 bottle (1L)</t>
      </text>
    </comment>
    <comment ref="I32" authorId="0" shapeId="0">
      <text>
        <t>[TRANSPARENCY STOCK ADDITION LOG]:
• 2026-08-24: +1 bottle (1L) | Encoded by: Store Mgr. Dave T. | Ref: DEL-AUG24-02
TOTAL TRANSFERRED: +1 bottle (1L)</t>
      </text>
    </comment>
    <comment ref="I34" authorId="0" shapeId="0">
      <text>
        <t>[TRANSPARENCY STOCK ADDITION LOG]:
• 2026-08-13: +250 grams | Encoded by: Warehouse Logistics | Ref: DEL-AUG13-00
  Note: Initial store inventory replenishment batch
TOTAL TRANSFERRED: +250 grams</t>
      </text>
    </comment>
    <comment ref="I35" authorId="0" shapeId="0">
      <text>
        <t>[TRANSPARENCY STOCK ADDITION LOG]:
• 2026-08-13: +400 grams | Encoded by: Supervisor Sarah M. | Ref: DEL-AUG13-01
  Note: Supplier Delivery Delivery
TOTAL TRANSFERRED: +400 grams</t>
      </text>
    </comment>
    <comment ref="I36" authorId="0" shapeId="0">
      <text>
        <t>[TRANSPARENCY STOCK ADDITION LOG]:
• 2026-08-13: +32 pcs | Encoded by: Supervisor Sarah M. | Ref: DEL-AUG13-01
  Note: Supplier Delivery Delivery
TOTAL TRANSFERRED: +32 pcs</t>
      </text>
    </comment>
    <comment ref="I37" authorId="0" shapeId="0">
      <text>
        <t>[TRANSPARENCY STOCK ADDITION LOG]:
• 2026-08-13: +10 bottles | Encoded by: Supervisor Sarah M. | Ref: DEL-AUG13-01
  Note: Supplier Delivery Delivery
TOTAL TRANSFERRED: +10 bottles</t>
      </text>
    </comment>
    <comment ref="I38" authorId="0" shapeId="0">
      <text>
        <t>[TRANSPARENCY STOCK ADDITION LOG]:
• 2026-08-13: +1000 grams | Encoded by: Supervisor Sarah M. | Ref: DEL-AUG13-01
  Note: Supplier Delivery Delivery
TOTAL TRANSFERRED: +1000 grams</t>
      </text>
    </comment>
    <comment ref="I39" authorId="0" shapeId="0">
      <text>
        <t>No additional restock transactions during audit cycle (0 Added).</t>
      </text>
    </comment>
    <comment ref="I41" authorId="0" shapeId="0">
      <text>
        <t>[TRANSPARENCY STOCK ADDITION LOG]:
• 2026-08-13: +454 grams | Encoded by: Supervisor Sarah M. | Ref: DEL-AUG13-01
  Note: Supplier Delivery Delivery
TOTAL TRANSFERRED: +454 grams</t>
      </text>
    </comment>
    <comment ref="I42" authorId="0" shapeId="0">
      <text>
        <t>[TRANSPARENCY STOCK ADDITION LOG]:
• 2026-08-13: +1000 grams | Encoded by: Supervisor Sarah M. | Ref: DEL-AUG13-01
  Note: Supplier Delivery Delivery
TOTAL TRANSFERRED: +1000 grams</t>
      </text>
    </comment>
    <comment ref="I43" authorId="0" shapeId="0">
      <text>
        <t>[TRANSPARENCY STOCK ADDITION LOG]:
• 2026-08-13: +300 grams | Encoded by: Supervisor Sarah M. | Ref: DEL-AUG13-01
  Note: Supplier Delivery Delivery
• 2026-08-13: +1 grams | Encoded by: Supervisor Sarah M. | Ref: DEL-AUG13-01
  Note: Supplier Delivery Delivery
TOTAL TRANSFERRED: +301 grams</t>
      </text>
    </comment>
    <comment ref="I44" authorId="0" shapeId="0">
      <text>
        <t>[TRANSPARENCY STOCK ADDITION LOG]:
• 2026-08-13: +600 grams | Encoded by: Supervisor Sarah M. | Ref: DEL-AUG13-01
  Note: Supplier Delivery Delivery
TOTAL TRANSFERRED: +600 grams</t>
      </text>
    </comment>
    <comment ref="I45" authorId="0" shapeId="0">
      <text>
        <t>[TRANSPARENCY STOCK ADDITION LOG]:
• 2026-08-13: +1 grams | Encoded by: Supervisor Sarah M. | Ref: DEL-AUG13-01
  Note: Supplier Delivery Delivery
• 2026-08-24: +1 grams | Encoded by: Store Mgr. Dave T. | Ref: DEL-AUG24-02
TOTAL TRANSFERRED: +2 grams</t>
      </text>
    </comment>
    <comment ref="I46" authorId="0" shapeId="0">
      <text>
        <t>[TRANSPARENCY STOCK ADDITION LOG]:
• 2026-08-13: +1000 grams | Encoded by: Supervisor Sarah M. | Ref: DEL-AUG13-01
  Note: Supplier Delivery Delivery
TOTAL TRANSFERRED: +1000 grams</t>
      </text>
    </comment>
    <comment ref="I47" authorId="0" shapeId="0">
      <text>
        <t>[TRANSPARENCY STOCK ADDITION LOG]:
• 2026-08-13: +1000 grams | Encoded by: Supervisor Sarah M. | Ref: DEL-AUG13-01
  Note: Supplier Delivery Delivery
TOTAL TRANSFERRED: +1000 grams</t>
      </text>
    </comment>
    <comment ref="I49" authorId="0" shapeId="0">
      <text>
        <t>[TRANSPARENCY STOCK ADDITION LOG]:
• 2026-08-24: +100 sachets | Encoded by: Store Mgr. Dave T. | Ref: DEL-AUG24-02
TOTAL TRANSFERRED: +100 sachets</t>
      </text>
    </comment>
    <comment ref="I50" authorId="0" shapeId="0">
      <text>
        <t>[TRANSPARENCY STOCK ADDITION LOG]:
• 2026-08-24: +100 sachets | Encoded by: Store Mgr. Dave T. | Ref: DEL-AUG24-02
TOTAL TRANSFERRED: +100 sachets</t>
      </text>
    </comment>
    <comment ref="I51" authorId="0" shapeId="0">
      <text>
        <t>[TRANSPARENCY STOCK ADDITION LOG]:
• 2026-08-24: +100 sachets | Encoded by: Store Mgr. Dave T. | Ref: DEL-AUG24-02
TOTAL TRANSFERRED: +100 sachets</t>
      </text>
    </comment>
    <comment ref="I52" authorId="0" shapeId="0">
      <text>
        <t>[TRANSPARENCY STOCK ADDITION LOG]:
• 2026-08-24: +100 sachets | Encoded by: Store Mgr. Dave T. | Ref: DEL-AUG24-02
TOTAL TRANSFERRED: +100 sachets</t>
      </text>
    </comment>
    <comment ref="I53" authorId="0" shapeId="0">
      <text>
        <t>[TRANSPARENCY STOCK ADDITION LOG]:
• 2026-08-24: +100 sachets | Encoded by: Store Mgr. Dave T. | Ref: DEL-AUG24-02
TOTAL TRANSFERRED: +100 sachets</t>
      </text>
    </comment>
    <comment ref="I54" authorId="0" shapeId="0">
      <text>
        <t>[TRANSPARENCY STOCK ADDITION LOG]:
• 2026-08-13: +100 sachets | Encoded by: Supervisor Sarah M. | Ref: DEL-AUG13-01
  Note: Supplier Delivery Delivery
• 2026-08-24: +100 sachets | Encoded by: Store Mgr. Dave T. | Ref: DEL-AUG24-02
TOTAL TRANSFERRED: +200 sachets</t>
      </text>
    </comment>
    <comment ref="I56" authorId="0" shapeId="0">
      <text>
        <t>[TRANSPARENCY STOCK ADDITION LOG]:
• 2026-08-24: +3 cans | Encoded by: Store Mgr. Dave T. | Ref: DEL-AUG24-02
TOTAL TRANSFERRED: +3 cans</t>
      </text>
    </comment>
    <comment ref="I57" authorId="0" shapeId="0">
      <text>
        <t>[TRANSPARENCY STOCK ADDITION LOG]:
• 2026-08-24: +3 cans | Encoded by: Store Mgr. Dave T. | Ref: DEL-AUG24-02
TOTAL TRANSFERRED: +3 cans</t>
      </text>
    </comment>
    <comment ref="I58" authorId="0" shapeId="0">
      <text>
        <t>[TRANSPARENCY STOCK ADDITION LOG]:
• 2026-08-24: +3 cans | Encoded by: Store Mgr. Dave T. | Ref: DEL-AUG24-02
TOTAL TRANSFERRED: +3 cans</t>
      </text>
    </comment>
    <comment ref="I59" authorId="0" shapeId="0">
      <text>
        <t>[TRANSPARENCY STOCK ADDITION LOG]:
• 2026-08-24: +3 packs | Encoded by: Store Mgr. Dave T. | Ref: DEL-AUG24-02
TOTAL TRANSFERRED: +3 packs</t>
      </text>
    </comment>
    <comment ref="I60" authorId="0" shapeId="0">
      <text>
        <t>[TRANSPARENCY STOCK ADDITION LOG]:
• 2026-08-24: +32 bags | Encoded by: Store Mgr. Dave T. | Ref: DEL-AUG24-02
TOTAL TRANSFERRED: +32 bags</t>
      </text>
    </comment>
    <comment ref="I62" authorId="0" shapeId="0">
      <text>
        <t>[TRANSPARENCY STOCK ADDITION LOG]:
• 2026-08-24: +24 cans | Encoded by: Store Mgr. Dave T. | Ref: DEL-AUG24-02
TOTAL TRANSFERRED: +24 cans</t>
      </text>
    </comment>
    <comment ref="I63" authorId="0" shapeId="0">
      <text>
        <t>[TRANSPARENCY STOCK ADDITION LOG]:
• 2026-08-24: +24 cans | Encoded by: Store Mgr. Dave T. | Ref: DEL-AUG24-02
TOTAL TRANSFERRED: +24 cans</t>
      </text>
    </comment>
    <comment ref="I64" authorId="0" shapeId="0">
      <text>
        <t>[TRANSPARENCY STOCK ADDITION LOG]:
• 2026-08-24: +24 cans | Encoded by: Store Mgr. Dave T. | Ref: DEL-AUG24-02
TOTAL TRANSFERRED: +24 cans</t>
      </text>
    </comment>
    <comment ref="I65" authorId="0" shapeId="0">
      <text>
        <t>[TRANSPARENCY STOCK ADDITION LOG]:
• 2026-08-24: +6 bottles | Encoded by: Store Mgr. Dave T. | Ref: DEL-AUG24-02
TOTAL TRANSFERRED: +6 bottles</t>
      </text>
    </comment>
    <comment ref="I66" authorId="0" shapeId="0">
      <text>
        <t>[TRANSPARENCY STOCK ADDITION LOG]:
• 2026-08-24: +35 bottles | Encoded by: Store Mgr. Dave T. | Ref: DEL-AUG24-02
  Note: by bottle
TOTAL TRANSFERRED: +35 bottles</t>
      </text>
    </comment>
    <comment ref="I67" authorId="0" shapeId="0">
      <text>
        <t>[TRANSPARENCY STOCK ADDITION LOG]:
• 2026-08-13: +20 bottles | Encoded by: Warehouse Logistics | Ref: DEL-AUG13-00
  Note: Initial store inventory replenishment batch
TOTAL TRANSFERRED: +20 bottles</t>
      </text>
    </comment>
    <comment ref="I68" authorId="0" shapeId="0">
      <text>
        <t>[TRANSPARENCY STOCK ADDITION LOG]:
• 2026-08-24: +48 bottles | Encoded by: Store Mgr. Dave T. | Ref: DEL-AUG24-02
  Note: by bottle
TOTAL TRANSFERRED: +48 bottles</t>
      </text>
    </comment>
    <comment ref="I69" authorId="0" shapeId="0">
      <text>
        <t>[TRANSPARENCY STOCK ADDITION LOG]:
• 2026-08-24: +48 bottles | Encoded by: Store Mgr. Dave T. | Ref: DEL-AUG24-02
  Note: by bottle
TOTAL TRANSFERRED: +48 bottles</t>
      </text>
    </comment>
    <comment ref="I70" authorId="0" shapeId="0">
      <text>
        <t>[TRANSPARENCY STOCK ADDITION LOG]:
• 2026-08-24: +24 bottles | Encoded by: Store Mgr. Dave T. | Ref: DEL-AUG24-02
  Note: by bottle
TOTAL TRANSFERRED: +24 bottles</t>
      </text>
    </comment>
    <comment ref="I71" authorId="0" shapeId="0">
      <text>
        <t>[TRANSPARENCY STOCK ADDITION LOG]:
• 2026-08-24: +6 bottles | Encoded by: Store Mgr. Dave T. | Ref: DEL-AUG24-02
TOTAL TRANSFERRED: +6 bottles</t>
      </text>
    </comment>
    <comment ref="I72" authorId="0" shapeId="0">
      <text>
        <t>[TRANSPARENCY STOCK ADDITION LOG]:
• 2026-08-24: +4 bottles | Encoded by: Store Mgr. Dave T. | Ref: DEL-AUG24-02
TOTAL TRANSFERRED: +4 bottles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2"/>
  <sheetViews>
    <sheetView tabSelected="1" zoomScale="24" zoomScaleNormal="24" workbookViewId="0">
      <pane ySplit="3" topLeftCell="A4" activePane="bottomLeft" state="frozen"/>
      <selection activeCell="A1" sqref="A1"/>
      <selection pane="bottomLeft" activeCell="I83" sqref="I83"/>
    </sheetView>
  </sheetViews>
  <sheetFormatPr baseColWidth="8" defaultColWidth="9" defaultRowHeight="14.5"/>
  <cols>
    <col width="11" customWidth="1" min="1" max="1"/>
    <col width="34" customWidth="1" min="2" max="2"/>
    <col width="11" customWidth="1" min="3" max="3"/>
    <col width="14.3272727272727" customWidth="1" min="4" max="4"/>
    <col width="15" customWidth="1" min="5" max="5"/>
    <col width="16" customWidth="1" min="6" max="6"/>
    <col width="15" customWidth="1" min="7" max="7"/>
    <col width="17" customWidth="1" min="8" max="8"/>
    <col width="13" customWidth="1" min="9" max="9"/>
    <col width="16" customWidth="1" min="10" max="10"/>
    <col width="26.1727272727273" customWidth="1" min="11" max="11"/>
    <col width="25.3818181818182" customWidth="1" min="12" max="12"/>
    <col width="18" customWidth="1" min="13" max="13"/>
  </cols>
  <sheetData>
    <row r="1" ht="36" customHeight="1">
      <c r="A1" s="38" t="inlineStr">
        <is>
          <t>ESPRESSO YOURSELF &amp; TEA HOUSE — COMPREHENSIVE INVENTORY RECONCILIATION</t>
        </is>
      </c>
    </row>
    <row r="2" ht="15" customHeight="1"/>
    <row r="3" ht="32" customHeight="1">
      <c r="A3" s="3" t="inlineStr">
        <is>
          <t>SKU / Code</t>
        </is>
      </c>
      <c r="B3" s="3" t="inlineStr">
        <is>
          <t>Item Description &amp; Specifications</t>
        </is>
      </c>
      <c r="C3" s="3" t="inlineStr">
        <is>
          <t>UOM</t>
        </is>
      </c>
      <c r="D3" s="3" t="inlineStr">
        <is>
          <t>Unit Cost (₱)</t>
        </is>
      </c>
      <c r="E3" s="3" t="inlineStr">
        <is>
          <t>Beginning Stock
(Aug 8)</t>
        </is>
      </c>
      <c r="F3" s="3" t="inlineStr">
        <is>
          <t>Additional Stock
(Aug 13 - Sept 3)</t>
        </is>
      </c>
      <c r="G3" s="3" t="inlineStr">
        <is>
          <t>Total Available
Stock</t>
        </is>
      </c>
      <c r="H3" s="3" t="inlineStr">
        <is>
          <t>Sales</t>
        </is>
      </c>
      <c r="I3" s="3" t="inlineStr">
        <is>
          <t>Current</t>
        </is>
      </c>
      <c r="J3" s="3" t="inlineStr">
        <is>
          <t>Actual</t>
        </is>
      </c>
      <c r="K3" s="39" t="inlineStr">
        <is>
          <t>Variance
(Actual - Current)</t>
        </is>
      </c>
      <c r="L3" s="39" t="inlineStr">
        <is>
          <t>Audit Status</t>
        </is>
      </c>
      <c r="M3" s="40" t="inlineStr">
        <is>
          <t>Variance Value
(₱ Discrepancy)</t>
        </is>
      </c>
    </row>
    <row r="4" ht="24" customHeight="1">
      <c r="A4" s="41" t="inlineStr">
        <is>
          <t>📦  1. CUPS &amp; PACKAGING CONSUMABLES</t>
        </is>
      </c>
    </row>
    <row r="5" ht="22" customHeight="1">
      <c r="A5" s="42" t="inlineStr">
        <is>
          <t>PKG-001</t>
        </is>
      </c>
      <c r="B5" s="43" t="inlineStr">
        <is>
          <t>Plastic Cup 16oz (Cold PET)</t>
        </is>
      </c>
      <c r="C5" s="44" t="inlineStr">
        <is>
          <t>pcs</t>
        </is>
      </c>
      <c r="D5" s="81" t="n">
        <v>2.8</v>
      </c>
      <c r="E5" s="46" t="n">
        <v>300</v>
      </c>
      <c r="F5" s="46" t="n">
        <v>500</v>
      </c>
      <c r="G5" s="47">
        <f>E5+F5</f>
        <v/>
      </c>
      <c r="H5" s="48">
        <f>G5-I5</f>
        <v/>
      </c>
      <c r="I5" s="49" t="n">
        <v>709</v>
      </c>
      <c r="J5" s="50" t="n">
        <v>768</v>
      </c>
      <c r="K5" s="51">
        <f>J5-I5</f>
        <v/>
      </c>
      <c r="L5" s="52" t="inlineStr">
        <is>
          <t>SURPLUS</t>
        </is>
      </c>
      <c r="M5" s="82">
        <f>K5*D5</f>
        <v/>
      </c>
    </row>
    <row r="6" ht="22" customHeight="1">
      <c r="A6" s="54" t="inlineStr">
        <is>
          <t>PKG-002</t>
        </is>
      </c>
      <c r="B6" s="55" t="inlineStr">
        <is>
          <t>Paper Cup 16oz (Hot Large)</t>
        </is>
      </c>
      <c r="C6" s="56" t="inlineStr">
        <is>
          <t>pcs</t>
        </is>
      </c>
      <c r="D6" s="83" t="n">
        <v>2.8</v>
      </c>
      <c r="E6" s="58" t="n">
        <v>300</v>
      </c>
      <c r="F6" s="58" t="n">
        <v>400</v>
      </c>
      <c r="G6" s="59">
        <f>E6+F6</f>
        <v/>
      </c>
      <c r="H6" s="48">
        <f>G6-I6</f>
        <v/>
      </c>
      <c r="I6" s="49" t="n">
        <v>626</v>
      </c>
      <c r="J6" s="50" t="n">
        <v>944</v>
      </c>
      <c r="K6" s="51">
        <f>J6-I6</f>
        <v/>
      </c>
      <c r="L6" s="52" t="inlineStr">
        <is>
          <t>SURPLUS</t>
        </is>
      </c>
      <c r="M6" s="82">
        <f>K6*D6</f>
        <v/>
      </c>
    </row>
    <row r="7" ht="22" customHeight="1">
      <c r="A7" s="42" t="inlineStr">
        <is>
          <t>PKG-003</t>
        </is>
      </c>
      <c r="B7" s="43" t="inlineStr">
        <is>
          <t>Paper Cup 8oz (Hot Small)</t>
        </is>
      </c>
      <c r="C7" s="44" t="inlineStr">
        <is>
          <t>pcs</t>
        </is>
      </c>
      <c r="D7" s="81" t="n">
        <v>2.4</v>
      </c>
      <c r="E7" s="46" t="n">
        <v>250</v>
      </c>
      <c r="F7" s="46" t="n">
        <v>750</v>
      </c>
      <c r="G7" s="47">
        <f>E7+F7</f>
        <v/>
      </c>
      <c r="H7" s="48">
        <f>G7-I7</f>
        <v/>
      </c>
      <c r="I7" s="60" t="n">
        <v>925</v>
      </c>
      <c r="J7" s="61" t="n">
        <v>924</v>
      </c>
      <c r="K7" s="62">
        <f>J7-I7</f>
        <v/>
      </c>
      <c r="L7" s="63" t="inlineStr">
        <is>
          <t>SHORTAGE</t>
        </is>
      </c>
      <c r="M7" s="84">
        <f>K7*D7</f>
        <v/>
      </c>
    </row>
    <row r="8" ht="24" customHeight="1">
      <c r="A8" s="41" t="inlineStr">
        <is>
          <t>☕  2. COFFEE BEANS &amp; SPECIALTY ROASTS</t>
        </is>
      </c>
    </row>
    <row r="9" ht="22" customHeight="1">
      <c r="A9" s="54" t="inlineStr">
        <is>
          <t>ING-001</t>
        </is>
      </c>
      <c r="B9" s="55" t="inlineStr">
        <is>
          <t>Concept Blend 1 (Espresso Beans)</t>
        </is>
      </c>
      <c r="C9" s="56" t="inlineStr">
        <is>
          <t>pack (1kg)</t>
        </is>
      </c>
      <c r="D9" s="83" t="n">
        <v>980</v>
      </c>
      <c r="E9" s="58" t="n">
        <v>10</v>
      </c>
      <c r="F9" s="58" t="n">
        <v>0</v>
      </c>
      <c r="G9" s="65">
        <f>E9+F9</f>
        <v/>
      </c>
      <c r="H9" s="66">
        <f>G9-I9</f>
        <v/>
      </c>
      <c r="I9" s="67" t="n">
        <v>3</v>
      </c>
      <c r="J9" s="68" t="n">
        <v>3</v>
      </c>
      <c r="K9" s="69">
        <f>J9-I9</f>
        <v/>
      </c>
      <c r="L9" s="70" t="inlineStr">
        <is>
          <t>MATCHED</t>
        </is>
      </c>
      <c r="M9" s="85">
        <f>K9*D9</f>
        <v/>
      </c>
    </row>
    <row r="10" ht="22" customHeight="1">
      <c r="A10" s="42" t="inlineStr">
        <is>
          <t>ING-002</t>
        </is>
      </c>
      <c r="B10" s="43" t="inlineStr">
        <is>
          <t>Australia's Own / Artisanal Roast</t>
        </is>
      </c>
      <c r="C10" s="44" t="inlineStr">
        <is>
          <t>pack (1kg)</t>
        </is>
      </c>
      <c r="D10" s="81" t="n">
        <v>204</v>
      </c>
      <c r="E10" s="46" t="n">
        <v>0</v>
      </c>
      <c r="F10" s="46" t="n">
        <v>1</v>
      </c>
      <c r="G10" s="72">
        <f>E10+F10</f>
        <v/>
      </c>
      <c r="H10" s="66">
        <f>G10-I10</f>
        <v/>
      </c>
      <c r="I10" s="67" t="n">
        <v>1</v>
      </c>
      <c r="J10" s="68" t="n">
        <v>1</v>
      </c>
      <c r="K10" s="69">
        <f>J10-I10</f>
        <v/>
      </c>
      <c r="L10" s="70" t="inlineStr">
        <is>
          <t>MATCHED</t>
        </is>
      </c>
      <c r="M10" s="85">
        <f>K10*D10</f>
        <v/>
      </c>
    </row>
    <row r="11" ht="24" customHeight="1">
      <c r="A11" s="41" t="inlineStr">
        <is>
          <t>🍯  3. TORANI FLAVOR SYRUPS &amp; PURÉES</t>
        </is>
      </c>
    </row>
    <row r="12" ht="22" customHeight="1">
      <c r="A12" s="54" t="inlineStr">
        <is>
          <t>TOR-001</t>
        </is>
      </c>
      <c r="B12" s="55" t="inlineStr">
        <is>
          <t>Torani Irish Cream Syrup 750ml</t>
        </is>
      </c>
      <c r="C12" s="56" t="inlineStr">
        <is>
          <t>bottle</t>
        </is>
      </c>
      <c r="D12" s="83" t="n">
        <v>550</v>
      </c>
      <c r="E12" s="58" t="n">
        <v>0</v>
      </c>
      <c r="F12" s="58" t="n">
        <v>1</v>
      </c>
      <c r="G12" s="65">
        <f>E12+F12</f>
        <v/>
      </c>
      <c r="H12" s="66">
        <f>G12-I12</f>
        <v/>
      </c>
      <c r="I12" s="67" t="n">
        <v>1</v>
      </c>
      <c r="J12" s="68" t="n">
        <v>1</v>
      </c>
      <c r="K12" s="69">
        <f>J12-I12</f>
        <v/>
      </c>
      <c r="L12" s="70" t="inlineStr">
        <is>
          <t>MATCHED</t>
        </is>
      </c>
      <c r="M12" s="85">
        <f>K12*D12</f>
        <v/>
      </c>
    </row>
    <row r="13" ht="22" customHeight="1">
      <c r="A13" s="42" t="inlineStr">
        <is>
          <t>TOR-002</t>
        </is>
      </c>
      <c r="B13" s="43" t="inlineStr">
        <is>
          <t>Torani Salted Caramel Syrup 750ml</t>
        </is>
      </c>
      <c r="C13" s="44" t="inlineStr">
        <is>
          <t>bottle</t>
        </is>
      </c>
      <c r="D13" s="81" t="n">
        <v>550</v>
      </c>
      <c r="E13" s="46" t="n">
        <v>0</v>
      </c>
      <c r="F13" s="46" t="n">
        <v>1</v>
      </c>
      <c r="G13" s="72">
        <f>E13+F13</f>
        <v/>
      </c>
      <c r="H13" s="66">
        <f>G13-I13</f>
        <v/>
      </c>
      <c r="I13" s="67" t="n">
        <v>1</v>
      </c>
      <c r="J13" s="68" t="n">
        <v>1</v>
      </c>
      <c r="K13" s="69">
        <f>J13-I13</f>
        <v/>
      </c>
      <c r="L13" s="70" t="inlineStr">
        <is>
          <t>MATCHED</t>
        </is>
      </c>
      <c r="M13" s="85">
        <f>K13*D13</f>
        <v/>
      </c>
    </row>
    <row r="14" ht="22" customHeight="1">
      <c r="A14" s="54" t="inlineStr">
        <is>
          <t>TOR-003</t>
        </is>
      </c>
      <c r="B14" s="55" t="inlineStr">
        <is>
          <t>Torani White Chocolate Syrup 750ml</t>
        </is>
      </c>
      <c r="C14" s="56" t="inlineStr">
        <is>
          <t>bottle</t>
        </is>
      </c>
      <c r="D14" s="83" t="n">
        <v>550</v>
      </c>
      <c r="E14" s="58" t="n">
        <v>0</v>
      </c>
      <c r="F14" s="58" t="n">
        <v>1</v>
      </c>
      <c r="G14" s="65">
        <f>E14+F14</f>
        <v/>
      </c>
      <c r="H14" s="66">
        <f>G14-I14</f>
        <v/>
      </c>
      <c r="I14" s="60" t="n">
        <v>1</v>
      </c>
      <c r="J14" s="61" t="inlineStr">
        <is>
          <t>500ml</t>
        </is>
      </c>
      <c r="K14" s="62" t="n">
        <v>-0.33</v>
      </c>
      <c r="L14" s="63" t="inlineStr">
        <is>
          <t>SHORTAGE</t>
        </is>
      </c>
      <c r="M14" s="84" t="n">
        <v>-181.5</v>
      </c>
    </row>
    <row r="15" ht="22" customHeight="1">
      <c r="A15" s="42" t="inlineStr">
        <is>
          <t>TOR-004</t>
        </is>
      </c>
      <c r="B15" s="43" t="inlineStr">
        <is>
          <t>Torani French Vanilla Syrup 750ml</t>
        </is>
      </c>
      <c r="C15" s="44" t="inlineStr">
        <is>
          <t>bottle</t>
        </is>
      </c>
      <c r="D15" s="81" t="n">
        <v>550</v>
      </c>
      <c r="E15" s="46" t="n">
        <v>0</v>
      </c>
      <c r="F15" s="46" t="n">
        <v>1</v>
      </c>
      <c r="G15" s="72">
        <f>E15+F15</f>
        <v/>
      </c>
      <c r="H15" s="66">
        <f>G15-I15</f>
        <v/>
      </c>
      <c r="I15" s="73" t="n">
        <v>1</v>
      </c>
      <c r="J15" s="74" t="inlineStr">
        <is>
          <t>851ml</t>
        </is>
      </c>
      <c r="K15" s="75" t="n">
        <v>0</v>
      </c>
      <c r="L15" s="76" t="inlineStr">
        <is>
          <t>UNMATCHED (Scale Weight)</t>
        </is>
      </c>
      <c r="M15" s="86" t="n">
        <v>0</v>
      </c>
    </row>
    <row r="16" ht="22" customHeight="1">
      <c r="A16" s="54" t="inlineStr">
        <is>
          <t>TOR-005</t>
        </is>
      </c>
      <c r="B16" s="55" t="inlineStr">
        <is>
          <t>Torani Macadamia Nut Syrup 750ml</t>
        </is>
      </c>
      <c r="C16" s="56" t="inlineStr">
        <is>
          <t>bottle</t>
        </is>
      </c>
      <c r="D16" s="83" t="n">
        <v>550</v>
      </c>
      <c r="E16" s="58" t="n">
        <v>0</v>
      </c>
      <c r="F16" s="58" t="n">
        <v>1</v>
      </c>
      <c r="G16" s="65">
        <f>E16+F16</f>
        <v/>
      </c>
      <c r="H16" s="66">
        <f>G16-I16</f>
        <v/>
      </c>
      <c r="I16" s="67" t="n">
        <v>1</v>
      </c>
      <c r="J16" s="68" t="n">
        <v>1</v>
      </c>
      <c r="K16" s="69">
        <f>J16-I16</f>
        <v/>
      </c>
      <c r="L16" s="70" t="inlineStr">
        <is>
          <t>MATCHED</t>
        </is>
      </c>
      <c r="M16" s="85">
        <f>K16*D16</f>
        <v/>
      </c>
    </row>
    <row r="17" ht="22" customHeight="1">
      <c r="A17" s="42" t="inlineStr">
        <is>
          <t>TOR-006</t>
        </is>
      </c>
      <c r="B17" s="43" t="inlineStr">
        <is>
          <t>Torani Hazelnut Syrup 750ml</t>
        </is>
      </c>
      <c r="C17" s="44" t="inlineStr">
        <is>
          <t>bottle</t>
        </is>
      </c>
      <c r="D17" s="81" t="n">
        <v>550</v>
      </c>
      <c r="E17" s="46" t="n">
        <v>0</v>
      </c>
      <c r="F17" s="46" t="n">
        <v>1</v>
      </c>
      <c r="G17" s="72">
        <f>E17+F17</f>
        <v/>
      </c>
      <c r="H17" s="66">
        <f>G17-I17</f>
        <v/>
      </c>
      <c r="I17" s="73" t="n">
        <v>1</v>
      </c>
      <c r="J17" s="74" t="n">
        <v>892</v>
      </c>
      <c r="K17" s="75" t="n">
        <v>0</v>
      </c>
      <c r="L17" s="76" t="inlineStr">
        <is>
          <t>UNMATCHED (Scale Weight)</t>
        </is>
      </c>
      <c r="M17" s="86" t="n">
        <v>0</v>
      </c>
    </row>
    <row r="18" ht="22" customHeight="1">
      <c r="A18" s="54" t="inlineStr">
        <is>
          <t>TOR-007</t>
        </is>
      </c>
      <c r="B18" s="55" t="inlineStr">
        <is>
          <t>Torani Butterscotch Syrup 750ml</t>
        </is>
      </c>
      <c r="C18" s="56" t="inlineStr">
        <is>
          <t>bottle</t>
        </is>
      </c>
      <c r="D18" s="83" t="n">
        <v>550</v>
      </c>
      <c r="E18" s="58" t="n">
        <v>0</v>
      </c>
      <c r="F18" s="58" t="n">
        <v>1</v>
      </c>
      <c r="G18" s="65">
        <f>E18+F18</f>
        <v/>
      </c>
      <c r="H18" s="66">
        <f>G18-I18</f>
        <v/>
      </c>
      <c r="I18" s="67" t="n">
        <v>1</v>
      </c>
      <c r="J18" s="68" t="n">
        <v>1</v>
      </c>
      <c r="K18" s="69">
        <f>J18-I18</f>
        <v/>
      </c>
      <c r="L18" s="70" t="inlineStr">
        <is>
          <t>MATCHED</t>
        </is>
      </c>
      <c r="M18" s="85">
        <f>K18*D18</f>
        <v/>
      </c>
    </row>
    <row r="19" ht="22" customHeight="1">
      <c r="A19" s="42" t="inlineStr">
        <is>
          <t>TOR-008</t>
        </is>
      </c>
      <c r="B19" s="43" t="inlineStr">
        <is>
          <t>Torani Pomegranate Syrup 750ml</t>
        </is>
      </c>
      <c r="C19" s="44" t="inlineStr">
        <is>
          <t>bottle</t>
        </is>
      </c>
      <c r="D19" s="81" t="n">
        <v>550</v>
      </c>
      <c r="E19" s="46" t="n">
        <v>0</v>
      </c>
      <c r="F19" s="46" t="n">
        <v>1</v>
      </c>
      <c r="G19" s="72">
        <f>E19+F19</f>
        <v/>
      </c>
      <c r="H19" s="66">
        <f>G19-I19</f>
        <v/>
      </c>
      <c r="I19" s="73" t="n">
        <v>1</v>
      </c>
      <c r="J19" s="74" t="inlineStr">
        <is>
          <t>902ml</t>
        </is>
      </c>
      <c r="K19" s="75" t="n">
        <v>0</v>
      </c>
      <c r="L19" s="76" t="inlineStr">
        <is>
          <t>UNMATCHED (Scale Weight)</t>
        </is>
      </c>
      <c r="M19" s="86" t="n">
        <v>0</v>
      </c>
    </row>
    <row r="20" ht="22" customHeight="1">
      <c r="A20" s="54" t="inlineStr">
        <is>
          <t>TOR-009</t>
        </is>
      </c>
      <c r="B20" s="55" t="inlineStr">
        <is>
          <t>Torani Lychee Syrup 750ml</t>
        </is>
      </c>
      <c r="C20" s="56" t="inlineStr">
        <is>
          <t>bottle</t>
        </is>
      </c>
      <c r="D20" s="83" t="n">
        <v>550</v>
      </c>
      <c r="E20" s="58" t="n">
        <v>0</v>
      </c>
      <c r="F20" s="58" t="n">
        <v>1</v>
      </c>
      <c r="G20" s="65">
        <f>E20+F20</f>
        <v/>
      </c>
      <c r="H20" s="66">
        <f>G20-I20</f>
        <v/>
      </c>
      <c r="I20" s="73" t="n">
        <v>1</v>
      </c>
      <c r="J20" s="74" t="inlineStr">
        <is>
          <t>955ml</t>
        </is>
      </c>
      <c r="K20" s="75" t="n">
        <v>0</v>
      </c>
      <c r="L20" s="76" t="inlineStr">
        <is>
          <t>UNMATCHED (Scale Weight)</t>
        </is>
      </c>
      <c r="M20" s="86" t="n">
        <v>0</v>
      </c>
    </row>
    <row r="21" ht="22" customHeight="1">
      <c r="A21" s="42" t="inlineStr">
        <is>
          <t>TOR-010</t>
        </is>
      </c>
      <c r="B21" s="43" t="inlineStr">
        <is>
          <t>Torani Caramel Sauce / Syrup (Gallon)</t>
        </is>
      </c>
      <c r="C21" s="44" t="inlineStr">
        <is>
          <t>gallon</t>
        </is>
      </c>
      <c r="D21" s="81" t="n">
        <v>950</v>
      </c>
      <c r="E21" s="46" t="n">
        <v>0</v>
      </c>
      <c r="F21" s="46" t="n">
        <v>1</v>
      </c>
      <c r="G21" s="72">
        <f>E21+F21</f>
        <v/>
      </c>
      <c r="H21" s="66">
        <f>G21-I21</f>
        <v/>
      </c>
      <c r="I21" s="67" t="n">
        <v>1</v>
      </c>
      <c r="J21" s="68" t="n">
        <v>1</v>
      </c>
      <c r="K21" s="69">
        <f>J21-I21</f>
        <v/>
      </c>
      <c r="L21" s="70" t="inlineStr">
        <is>
          <t>MATCHED</t>
        </is>
      </c>
      <c r="M21" s="85">
        <f>K21*D21</f>
        <v/>
      </c>
    </row>
    <row r="22" ht="22" customHeight="1">
      <c r="A22" s="54" t="inlineStr">
        <is>
          <t>TOR-011</t>
        </is>
      </c>
      <c r="B22" s="55" t="inlineStr">
        <is>
          <t>Torani Mango Purée Blend 1.89L</t>
        </is>
      </c>
      <c r="C22" s="56" t="inlineStr">
        <is>
          <t>gallon</t>
        </is>
      </c>
      <c r="D22" s="83" t="n">
        <v>950</v>
      </c>
      <c r="E22" s="58" t="n">
        <v>0</v>
      </c>
      <c r="F22" s="58" t="n">
        <v>1</v>
      </c>
      <c r="G22" s="65">
        <f>E22+F22</f>
        <v/>
      </c>
      <c r="H22" s="66">
        <f>G22-I22</f>
        <v/>
      </c>
      <c r="I22" s="67" t="n">
        <v>1</v>
      </c>
      <c r="J22" s="68" t="n">
        <v>1</v>
      </c>
      <c r="K22" s="69">
        <f>J22-I22</f>
        <v/>
      </c>
      <c r="L22" s="70" t="inlineStr">
        <is>
          <t>MATCHED</t>
        </is>
      </c>
      <c r="M22" s="85">
        <f>K22*D22</f>
        <v/>
      </c>
    </row>
    <row r="23" ht="22" customHeight="1">
      <c r="A23" s="42" t="inlineStr">
        <is>
          <t>TOR-012</t>
        </is>
      </c>
      <c r="B23" s="43" t="inlineStr">
        <is>
          <t>Torani Strawberry Purée Blend 1.89L</t>
        </is>
      </c>
      <c r="C23" s="44" t="inlineStr">
        <is>
          <t>gallon</t>
        </is>
      </c>
      <c r="D23" s="81" t="n">
        <v>950</v>
      </c>
      <c r="E23" s="46" t="n">
        <v>0</v>
      </c>
      <c r="F23" s="46" t="n">
        <v>1</v>
      </c>
      <c r="G23" s="72">
        <f>E23+F23</f>
        <v/>
      </c>
      <c r="H23" s="66">
        <f>G23-I23</f>
        <v/>
      </c>
      <c r="I23" s="60" t="n">
        <v>1</v>
      </c>
      <c r="J23" s="61" t="inlineStr">
        <is>
          <t>1.77ml</t>
        </is>
      </c>
      <c r="K23" s="62" t="n">
        <v>-0.06</v>
      </c>
      <c r="L23" s="63" t="inlineStr">
        <is>
          <t>SHORTAGE</t>
        </is>
      </c>
      <c r="M23" s="84" t="n">
        <v>-57</v>
      </c>
    </row>
    <row r="24" ht="24" customHeight="1">
      <c r="A24" s="41" t="inlineStr">
        <is>
          <t>✨  4. SHOTT NEW ZEALAND PREMIUM SYRUPS</t>
        </is>
      </c>
    </row>
    <row r="25" ht="22" customHeight="1">
      <c r="A25" s="54" t="inlineStr">
        <is>
          <t>SHT-001</t>
        </is>
      </c>
      <c r="B25" s="55" t="inlineStr">
        <is>
          <t>SHOTT Pink Guava Syrup 1L</t>
        </is>
      </c>
      <c r="C25" s="56" t="inlineStr">
        <is>
          <t>bottle (1L)</t>
        </is>
      </c>
      <c r="D25" s="83" t="n">
        <v>890</v>
      </c>
      <c r="E25" s="58" t="n">
        <v>1</v>
      </c>
      <c r="F25" s="58" t="n">
        <v>0</v>
      </c>
      <c r="G25" s="65">
        <f>E25+F25</f>
        <v/>
      </c>
      <c r="H25" s="66">
        <f>G25-I25</f>
        <v/>
      </c>
      <c r="I25" s="49" t="n">
        <v>0</v>
      </c>
      <c r="J25" s="50" t="inlineStr">
        <is>
          <t>20.7g</t>
        </is>
      </c>
      <c r="K25" s="51" t="n">
        <v>0.02</v>
      </c>
      <c r="L25" s="52" t="inlineStr">
        <is>
          <t>SURPLUS</t>
        </is>
      </c>
      <c r="M25" s="82" t="n">
        <v>17.8</v>
      </c>
    </row>
    <row r="26" ht="22" customHeight="1">
      <c r="A26" s="42" t="inlineStr">
        <is>
          <t>SHT-002</t>
        </is>
      </c>
      <c r="B26" s="43" t="inlineStr">
        <is>
          <t>SHOTT Irish Cream Syrup 1L</t>
        </is>
      </c>
      <c r="C26" s="44" t="inlineStr">
        <is>
          <t>bottle (1L)</t>
        </is>
      </c>
      <c r="D26" s="81" t="n">
        <v>690</v>
      </c>
      <c r="E26" s="46" t="n">
        <v>1</v>
      </c>
      <c r="F26" s="46" t="n">
        <v>0</v>
      </c>
      <c r="G26" s="72">
        <f>E26+F26</f>
        <v/>
      </c>
      <c r="H26" s="66">
        <f>G26-I26</f>
        <v/>
      </c>
      <c r="I26" s="67" t="n">
        <v>1</v>
      </c>
      <c r="J26" s="68" t="n">
        <v>1</v>
      </c>
      <c r="K26" s="69">
        <f>J26-I26</f>
        <v/>
      </c>
      <c r="L26" s="70" t="inlineStr">
        <is>
          <t>MATCHED</t>
        </is>
      </c>
      <c r="M26" s="85">
        <f>K26*D26</f>
        <v/>
      </c>
    </row>
    <row r="27" ht="22" customHeight="1">
      <c r="A27" s="54" t="inlineStr">
        <is>
          <t>SHT-003</t>
        </is>
      </c>
      <c r="B27" s="55" t="inlineStr">
        <is>
          <t>SHOTT Mango Syrup 1L</t>
        </is>
      </c>
      <c r="C27" s="56" t="inlineStr">
        <is>
          <t>bottle (1L)</t>
        </is>
      </c>
      <c r="D27" s="83" t="n">
        <v>890</v>
      </c>
      <c r="E27" s="58" t="n">
        <v>1</v>
      </c>
      <c r="F27" s="58" t="n">
        <v>0</v>
      </c>
      <c r="G27" s="65">
        <f>E27+F27</f>
        <v/>
      </c>
      <c r="H27" s="66">
        <f>G27-I27</f>
        <v/>
      </c>
      <c r="I27" s="78" t="n">
        <v>0.21</v>
      </c>
      <c r="J27" s="61" t="inlineStr">
        <is>
          <t>95.2g</t>
        </is>
      </c>
      <c r="K27" s="62" t="n">
        <v>-0.115</v>
      </c>
      <c r="L27" s="63" t="inlineStr">
        <is>
          <t>SHORTAGE</t>
        </is>
      </c>
      <c r="M27" s="84" t="n">
        <v>-102.35</v>
      </c>
    </row>
    <row r="28" ht="22" customHeight="1">
      <c r="A28" s="42" t="inlineStr">
        <is>
          <t>SHT-004</t>
        </is>
      </c>
      <c r="B28" s="43" t="inlineStr">
        <is>
          <t>SHOTT Macadamia Syrup 1L</t>
        </is>
      </c>
      <c r="C28" s="44" t="inlineStr">
        <is>
          <t>bottle (1L)</t>
        </is>
      </c>
      <c r="D28" s="81" t="n">
        <v>690</v>
      </c>
      <c r="E28" s="46" t="n">
        <v>1</v>
      </c>
      <c r="F28" s="46" t="n">
        <v>0</v>
      </c>
      <c r="G28" s="72">
        <f>E28+F28</f>
        <v/>
      </c>
      <c r="H28" s="66">
        <f>G28-I28</f>
        <v/>
      </c>
      <c r="I28" s="79" t="n">
        <v>0.9</v>
      </c>
      <c r="J28" s="50" t="inlineStr">
        <is>
          <t>980g</t>
        </is>
      </c>
      <c r="K28" s="51" t="n">
        <v>0.08</v>
      </c>
      <c r="L28" s="52" t="inlineStr">
        <is>
          <t>SURPLUS</t>
        </is>
      </c>
      <c r="M28" s="82" t="n">
        <v>55.2</v>
      </c>
    </row>
    <row r="29" ht="22" customHeight="1">
      <c r="A29" s="54" t="inlineStr">
        <is>
          <t>SHT-005</t>
        </is>
      </c>
      <c r="B29" s="55" t="inlineStr">
        <is>
          <t>SHOTT Vanilla Syrup 1L</t>
        </is>
      </c>
      <c r="C29" s="56" t="inlineStr">
        <is>
          <t>bottle (1L)</t>
        </is>
      </c>
      <c r="D29" s="83" t="n">
        <v>690</v>
      </c>
      <c r="E29" s="58" t="n">
        <v>1</v>
      </c>
      <c r="F29" s="58" t="n">
        <v>0</v>
      </c>
      <c r="G29" s="65">
        <f>E29+F29</f>
        <v/>
      </c>
      <c r="H29" s="66">
        <f>G29-I29</f>
        <v/>
      </c>
      <c r="I29" s="67" t="n">
        <v>1</v>
      </c>
      <c r="J29" s="68" t="n">
        <v>1</v>
      </c>
      <c r="K29" s="69">
        <f>J29-I29</f>
        <v/>
      </c>
      <c r="L29" s="70" t="inlineStr">
        <is>
          <t>MATCHED</t>
        </is>
      </c>
      <c r="M29" s="85">
        <f>K29*D29</f>
        <v/>
      </c>
    </row>
    <row r="30" ht="22" customHeight="1">
      <c r="A30" s="42" t="inlineStr">
        <is>
          <t>SHT-006</t>
        </is>
      </c>
      <c r="B30" s="43" t="inlineStr">
        <is>
          <t>SHOTT Lychee Syrup 1L</t>
        </is>
      </c>
      <c r="C30" s="44" t="inlineStr">
        <is>
          <t>bottle (1L)</t>
        </is>
      </c>
      <c r="D30" s="81" t="n">
        <v>690</v>
      </c>
      <c r="E30" s="46" t="n">
        <v>1</v>
      </c>
      <c r="F30" s="46" t="n">
        <v>0</v>
      </c>
      <c r="G30" s="72">
        <f>E30+F30</f>
        <v/>
      </c>
      <c r="H30" s="66">
        <f>G30-I30</f>
        <v/>
      </c>
      <c r="I30" s="78" t="n">
        <v>0.9</v>
      </c>
      <c r="J30" s="61" t="inlineStr">
        <is>
          <t>747g</t>
        </is>
      </c>
      <c r="K30" s="62" t="n">
        <v>-0.153</v>
      </c>
      <c r="L30" s="63" t="inlineStr">
        <is>
          <t>SHORTAGE</t>
        </is>
      </c>
      <c r="M30" s="84" t="n">
        <v>-105.57</v>
      </c>
    </row>
    <row r="31" ht="22" customHeight="1">
      <c r="A31" s="54" t="inlineStr">
        <is>
          <t>SHT-007</t>
        </is>
      </c>
      <c r="B31" s="55" t="inlineStr">
        <is>
          <t>SHOTT Pomegranate Syrup 1L</t>
        </is>
      </c>
      <c r="C31" s="56" t="inlineStr">
        <is>
          <t>bottle (1L)</t>
        </is>
      </c>
      <c r="D31" s="83" t="n">
        <v>890</v>
      </c>
      <c r="E31" s="58" t="n">
        <v>1</v>
      </c>
      <c r="F31" s="58" t="n">
        <v>0</v>
      </c>
      <c r="G31" s="65">
        <f>E31+F31</f>
        <v/>
      </c>
      <c r="H31" s="66">
        <f>G31-I31</f>
        <v/>
      </c>
      <c r="I31" s="78" t="n">
        <v>0.25</v>
      </c>
      <c r="J31" s="61" t="n">
        <v>0</v>
      </c>
      <c r="K31" s="62">
        <f>J31-I31</f>
        <v/>
      </c>
      <c r="L31" s="63" t="inlineStr">
        <is>
          <t>SHORTAGE</t>
        </is>
      </c>
      <c r="M31" s="84">
        <f>K31*D31</f>
        <v/>
      </c>
    </row>
    <row r="32" ht="24" customHeight="1">
      <c r="A32" s="41" t="inlineStr">
        <is>
          <t>🧈  5. CONDIMENTS, SPREADS &amp; MIXES</t>
        </is>
      </c>
    </row>
    <row r="33" ht="22" customHeight="1">
      <c r="A33" s="42" t="inlineStr">
        <is>
          <t>MIX-001</t>
        </is>
      </c>
      <c r="B33" s="43" t="inlineStr">
        <is>
          <t>Biscoff Sauce Mix (In-House Prep)</t>
        </is>
      </c>
      <c r="C33" s="44" t="inlineStr">
        <is>
          <t>grams</t>
        </is>
      </c>
      <c r="D33" s="81" t="n">
        <v>0.86</v>
      </c>
      <c r="E33" s="46" t="n">
        <v>0</v>
      </c>
      <c r="F33" s="46" t="n">
        <v>250</v>
      </c>
      <c r="G33" s="72">
        <f>E33+F33</f>
        <v/>
      </c>
      <c r="H33" s="48">
        <f>G33-I33</f>
        <v/>
      </c>
      <c r="I33" s="60" t="n">
        <v>213</v>
      </c>
      <c r="J33" s="61" t="n">
        <v>0</v>
      </c>
      <c r="K33" s="62">
        <f>J33-I33</f>
        <v/>
      </c>
      <c r="L33" s="63" t="inlineStr">
        <is>
          <t>SHORTAGE</t>
        </is>
      </c>
      <c r="M33" s="84">
        <f>K33*D33</f>
        <v/>
      </c>
    </row>
    <row r="34" ht="22" customHeight="1">
      <c r="A34" s="54" t="inlineStr">
        <is>
          <t>MIX-002</t>
        </is>
      </c>
      <c r="B34" s="55" t="inlineStr">
        <is>
          <t>Lotus Biscoff Spread Smooth 400g</t>
        </is>
      </c>
      <c r="C34" s="56" t="inlineStr">
        <is>
          <t>grams</t>
        </is>
      </c>
      <c r="D34" s="83" t="n">
        <v>0.86</v>
      </c>
      <c r="E34" s="58" t="n">
        <v>0</v>
      </c>
      <c r="F34" s="58" t="n">
        <v>400</v>
      </c>
      <c r="G34" s="65">
        <f>E34+F34</f>
        <v/>
      </c>
      <c r="H34" s="48">
        <f>G34-I34</f>
        <v/>
      </c>
      <c r="I34" s="49" t="n">
        <v>201</v>
      </c>
      <c r="J34" s="50" t="inlineStr">
        <is>
          <t>242.3g</t>
        </is>
      </c>
      <c r="K34" s="51" t="n">
        <v>41.3</v>
      </c>
      <c r="L34" s="52" t="inlineStr">
        <is>
          <t>SURPLUS</t>
        </is>
      </c>
      <c r="M34" s="82" t="n">
        <v>35.518</v>
      </c>
    </row>
    <row r="35" ht="22" customHeight="1">
      <c r="A35" s="42" t="inlineStr">
        <is>
          <t>MIX-003</t>
        </is>
      </c>
      <c r="B35" s="43" t="inlineStr">
        <is>
          <t>Lotus Biscoff Biscuits (Garnish)</t>
        </is>
      </c>
      <c r="C35" s="44" t="inlineStr">
        <is>
          <t>pcs</t>
        </is>
      </c>
      <c r="D35" s="81" t="n">
        <v>6</v>
      </c>
      <c r="E35" s="46" t="n">
        <v>0</v>
      </c>
      <c r="F35" s="46" t="n">
        <v>32</v>
      </c>
      <c r="G35" s="72">
        <f>E35+F35</f>
        <v/>
      </c>
      <c r="H35" s="48">
        <f>G35-I35</f>
        <v/>
      </c>
      <c r="I35" s="60" t="n">
        <v>13</v>
      </c>
      <c r="J35" s="61" t="n">
        <v>9</v>
      </c>
      <c r="K35" s="62">
        <f>J35-I35</f>
        <v/>
      </c>
      <c r="L35" s="63" t="inlineStr">
        <is>
          <t>SHORTAGE</t>
        </is>
      </c>
      <c r="M35" s="84">
        <f>K35*D35</f>
        <v/>
      </c>
    </row>
    <row r="36" ht="22" customHeight="1">
      <c r="A36" s="54" t="inlineStr">
        <is>
          <t>MIX-004</t>
        </is>
      </c>
      <c r="B36" s="55" t="inlineStr">
        <is>
          <t>Sugar Syrup (Hi-Fructose 500ml)</t>
        </is>
      </c>
      <c r="C36" s="56" t="inlineStr">
        <is>
          <t>bottles</t>
        </is>
      </c>
      <c r="D36" s="83" t="n">
        <v>94</v>
      </c>
      <c r="E36" s="58" t="n">
        <v>1</v>
      </c>
      <c r="F36" s="58" t="n">
        <v>10</v>
      </c>
      <c r="G36" s="65">
        <f>E36+F36</f>
        <v/>
      </c>
      <c r="H36" s="48">
        <f>G36-I36</f>
        <v/>
      </c>
      <c r="I36" s="60" t="n">
        <v>3</v>
      </c>
      <c r="J36" s="61" t="inlineStr">
        <is>
          <t>324g</t>
        </is>
      </c>
      <c r="K36" s="62" t="n">
        <v>-2.35</v>
      </c>
      <c r="L36" s="63" t="inlineStr">
        <is>
          <t>SHORTAGE</t>
        </is>
      </c>
      <c r="M36" s="84" t="n">
        <v>-220.9</v>
      </c>
    </row>
    <row r="37" ht="22" customHeight="1">
      <c r="A37" s="42" t="inlineStr">
        <is>
          <t>MIX-005</t>
        </is>
      </c>
      <c r="B37" s="43" t="inlineStr">
        <is>
          <t>Caramel Mix (Bakersfield Caramel Fudge)</t>
        </is>
      </c>
      <c r="C37" s="44" t="inlineStr">
        <is>
          <t>grams</t>
        </is>
      </c>
      <c r="D37" s="81" t="n">
        <v>0.415</v>
      </c>
      <c r="E37" s="46" t="n">
        <v>0</v>
      </c>
      <c r="F37" s="46" t="n">
        <v>1000</v>
      </c>
      <c r="G37" s="72">
        <f>E37+F37</f>
        <v/>
      </c>
      <c r="H37" s="48">
        <f>G37-I37</f>
        <v/>
      </c>
      <c r="I37" s="78" t="n">
        <v>749.6</v>
      </c>
      <c r="J37" s="61" t="n">
        <v>577</v>
      </c>
      <c r="K37" s="62">
        <f>J37-I37</f>
        <v/>
      </c>
      <c r="L37" s="63" t="inlineStr">
        <is>
          <t>SHORTAGE</t>
        </is>
      </c>
      <c r="M37" s="84">
        <f>K37*D37</f>
        <v/>
      </c>
    </row>
    <row r="38" ht="22" customHeight="1">
      <c r="A38" s="54" t="inlineStr">
        <is>
          <t>MIX-006</t>
        </is>
      </c>
      <c r="B38" s="55" t="inlineStr">
        <is>
          <t>Doreen Condensed Milk 390g</t>
        </is>
      </c>
      <c r="C38" s="56" t="inlineStr">
        <is>
          <t>cans</t>
        </is>
      </c>
      <c r="D38" s="83" t="n">
        <v>44</v>
      </c>
      <c r="E38" s="58" t="n">
        <v>24</v>
      </c>
      <c r="F38" s="58" t="n">
        <v>0</v>
      </c>
      <c r="G38" s="65">
        <f>E38+F38</f>
        <v/>
      </c>
      <c r="H38" s="48">
        <f>G38-I38</f>
        <v/>
      </c>
      <c r="I38" s="78" t="n">
        <v>12.53</v>
      </c>
      <c r="J38" s="61" t="inlineStr">
        <is>
          <t>295.9g</t>
        </is>
      </c>
      <c r="K38" s="62" t="n">
        <v>-11.77</v>
      </c>
      <c r="L38" s="63" t="inlineStr">
        <is>
          <t>SHORTAGE</t>
        </is>
      </c>
      <c r="M38" s="84" t="n">
        <v>-517.88</v>
      </c>
    </row>
    <row r="39" ht="24" customHeight="1">
      <c r="A39" s="41" t="inlineStr">
        <is>
          <t>🍃  6. POWDERS &amp; BREWING TEA LEAVES</t>
        </is>
      </c>
    </row>
    <row r="40" ht="22" customHeight="1">
      <c r="A40" s="42" t="inlineStr">
        <is>
          <t>POW-001</t>
        </is>
      </c>
      <c r="B40" s="43" t="inlineStr">
        <is>
          <t>Oreo Crushed Cookie Crumbs 454g</t>
        </is>
      </c>
      <c r="C40" s="44" t="inlineStr">
        <is>
          <t>grams</t>
        </is>
      </c>
      <c r="D40" s="81" t="n">
        <v>0.385</v>
      </c>
      <c r="E40" s="46" t="n">
        <v>0</v>
      </c>
      <c r="F40" s="46" t="n">
        <v>454</v>
      </c>
      <c r="G40" s="72">
        <f>E40+F40</f>
        <v/>
      </c>
      <c r="H40" s="48">
        <f>G40-I40</f>
        <v/>
      </c>
      <c r="I40" s="60" t="n">
        <v>296</v>
      </c>
      <c r="J40" s="61" t="n">
        <v>250.2</v>
      </c>
      <c r="K40" s="62">
        <f>J40-I40</f>
        <v/>
      </c>
      <c r="L40" s="63" t="inlineStr">
        <is>
          <t>SHORTAGE</t>
        </is>
      </c>
      <c r="M40" s="84">
        <f>K40*D40</f>
        <v/>
      </c>
    </row>
    <row r="41" ht="22" customHeight="1">
      <c r="A41" s="54" t="inlineStr">
        <is>
          <t>POW-002</t>
        </is>
      </c>
      <c r="B41" s="55" t="inlineStr">
        <is>
          <t>Easy Cookies &amp; Cream Powder 1kg</t>
        </is>
      </c>
      <c r="C41" s="56" t="inlineStr">
        <is>
          <t>grams</t>
        </is>
      </c>
      <c r="D41" s="83" t="n">
        <v>0.305</v>
      </c>
      <c r="E41" s="58" t="n">
        <v>0</v>
      </c>
      <c r="F41" s="58" t="n">
        <v>1000</v>
      </c>
      <c r="G41" s="65">
        <f>E41+F41</f>
        <v/>
      </c>
      <c r="H41" s="48">
        <f>G41-I41</f>
        <v/>
      </c>
      <c r="I41" s="60" t="n">
        <v>897</v>
      </c>
      <c r="J41" s="61" t="n">
        <v>795</v>
      </c>
      <c r="K41" s="62">
        <f>J41-I41</f>
        <v/>
      </c>
      <c r="L41" s="63" t="inlineStr">
        <is>
          <t>SHORTAGE</t>
        </is>
      </c>
      <c r="M41" s="84">
        <f>K41*D41</f>
        <v/>
      </c>
    </row>
    <row r="42" ht="22" customHeight="1">
      <c r="A42" s="42" t="inlineStr">
        <is>
          <t>POW-003</t>
        </is>
      </c>
      <c r="B42" s="43" t="inlineStr">
        <is>
          <t>Matcha Powder (Pure / Culinary)</t>
        </is>
      </c>
      <c r="C42" s="44" t="inlineStr">
        <is>
          <t>grams</t>
        </is>
      </c>
      <c r="D42" s="81" t="n">
        <v>1.2</v>
      </c>
      <c r="E42" s="46" t="n">
        <v>0</v>
      </c>
      <c r="F42" s="46" t="n">
        <v>300</v>
      </c>
      <c r="G42" s="72">
        <f>E42+F42</f>
        <v/>
      </c>
      <c r="H42" s="48">
        <f>G42-I42</f>
        <v/>
      </c>
      <c r="I42" s="60" t="n">
        <v>101</v>
      </c>
      <c r="J42" s="61" t="n">
        <v>66.90000000000001</v>
      </c>
      <c r="K42" s="62">
        <f>J42-I42</f>
        <v/>
      </c>
      <c r="L42" s="63" t="inlineStr">
        <is>
          <t>SHORTAGE</t>
        </is>
      </c>
      <c r="M42" s="84">
        <f>K42*D42</f>
        <v/>
      </c>
    </row>
    <row r="43" ht="22" customHeight="1">
      <c r="A43" s="54" t="inlineStr">
        <is>
          <t>POW-004</t>
        </is>
      </c>
      <c r="B43" s="55" t="inlineStr">
        <is>
          <t>Black Tea Leaves (Possmei Assam)</t>
        </is>
      </c>
      <c r="C43" s="56" t="inlineStr">
        <is>
          <t>grams</t>
        </is>
      </c>
      <c r="D43" s="83" t="n">
        <v>0.733</v>
      </c>
      <c r="E43" s="58" t="n">
        <v>0</v>
      </c>
      <c r="F43" s="58" t="n">
        <v>600</v>
      </c>
      <c r="G43" s="65">
        <f>E43+F43</f>
        <v/>
      </c>
      <c r="H43" s="48">
        <f>G43-I43</f>
        <v/>
      </c>
      <c r="I43" s="60" t="n">
        <v>698</v>
      </c>
      <c r="J43" s="61" t="n">
        <v>598</v>
      </c>
      <c r="K43" s="62">
        <f>J43-I43</f>
        <v/>
      </c>
      <c r="L43" s="63" t="inlineStr">
        <is>
          <t>SHORTAGE</t>
        </is>
      </c>
      <c r="M43" s="84">
        <f>K43*D43</f>
        <v/>
      </c>
    </row>
    <row r="44" ht="22" customHeight="1">
      <c r="A44" s="42" t="inlineStr">
        <is>
          <t>POW-005</t>
        </is>
      </c>
      <c r="B44" s="43" t="inlineStr">
        <is>
          <t>Jasmine Green Tea Leaves (Possmei)</t>
        </is>
      </c>
      <c r="C44" s="44" t="inlineStr">
        <is>
          <t>grams</t>
        </is>
      </c>
      <c r="D44" s="81" t="n">
        <v>1.28</v>
      </c>
      <c r="E44" s="46" t="n">
        <v>0</v>
      </c>
      <c r="F44" s="46" t="n">
        <v>600</v>
      </c>
      <c r="G44" s="72">
        <f>E44+F44</f>
        <v/>
      </c>
      <c r="H44" s="48">
        <f>G44-I44</f>
        <v/>
      </c>
      <c r="I44" s="60" t="n">
        <v>597</v>
      </c>
      <c r="J44" s="61" t="n">
        <v>457</v>
      </c>
      <c r="K44" s="62">
        <f>J44-I44</f>
        <v/>
      </c>
      <c r="L44" s="63" t="inlineStr">
        <is>
          <t>SHORTAGE</t>
        </is>
      </c>
      <c r="M44" s="84">
        <f>K44*D44</f>
        <v/>
      </c>
    </row>
    <row r="45" ht="22" customHeight="1">
      <c r="A45" s="54" t="inlineStr">
        <is>
          <t>POW-006</t>
        </is>
      </c>
      <c r="B45" s="55" t="inlineStr">
        <is>
          <t>Easy Dark Choco Powder Base 1kg</t>
        </is>
      </c>
      <c r="C45" s="56" t="inlineStr">
        <is>
          <t>grams</t>
        </is>
      </c>
      <c r="D45" s="83" t="n">
        <v>0.396</v>
      </c>
      <c r="E45" s="58" t="n">
        <v>1000</v>
      </c>
      <c r="F45" s="58" t="n">
        <v>1000</v>
      </c>
      <c r="G45" s="65">
        <f>E45+F45</f>
        <v/>
      </c>
      <c r="H45" s="48">
        <f>G45-I45</f>
        <v/>
      </c>
      <c r="I45" s="60" t="n">
        <v>1612</v>
      </c>
      <c r="J45" s="61" t="inlineStr">
        <is>
          <t>1pack</t>
        </is>
      </c>
      <c r="K45" s="62" t="n">
        <v>-612</v>
      </c>
      <c r="L45" s="63" t="inlineStr">
        <is>
          <t>SHORTAGE</t>
        </is>
      </c>
      <c r="M45" s="84" t="n">
        <v>-242.352</v>
      </c>
    </row>
    <row r="46" ht="22" customHeight="1">
      <c r="A46" s="42" t="inlineStr">
        <is>
          <t>POW-007</t>
        </is>
      </c>
      <c r="B46" s="43" t="inlineStr">
        <is>
          <t>Artisanal Salted Cream Cheese Powder</t>
        </is>
      </c>
      <c r="C46" s="44" t="inlineStr">
        <is>
          <t>grams</t>
        </is>
      </c>
      <c r="D46" s="81" t="n">
        <v>0.4</v>
      </c>
      <c r="E46" s="46" t="n">
        <v>0</v>
      </c>
      <c r="F46" s="46" t="n">
        <v>1000</v>
      </c>
      <c r="G46" s="72">
        <f>E46+F46</f>
        <v/>
      </c>
      <c r="H46" s="48">
        <f>G46-I46</f>
        <v/>
      </c>
      <c r="I46" s="60" t="n">
        <v>448</v>
      </c>
      <c r="J46" s="61" t="inlineStr">
        <is>
          <t>295.9g</t>
        </is>
      </c>
      <c r="K46" s="62" t="n">
        <v>-152.1</v>
      </c>
      <c r="L46" s="63" t="inlineStr">
        <is>
          <t>SHORTAGE</t>
        </is>
      </c>
      <c r="M46" s="84" t="n">
        <v>-60.84</v>
      </c>
    </row>
    <row r="47" ht="24" customHeight="1">
      <c r="A47" s="41" t="inlineStr">
        <is>
          <t>🍵  7. DILMAH SPECIALTY TEA PACKS</t>
        </is>
      </c>
    </row>
    <row r="48" ht="22" customHeight="1">
      <c r="A48" s="54" t="inlineStr">
        <is>
          <t>DLM-001</t>
        </is>
      </c>
      <c r="B48" s="55" t="inlineStr">
        <is>
          <t>Dilmah Pure Chamomile Flowers Tea</t>
        </is>
      </c>
      <c r="C48" s="56" t="inlineStr">
        <is>
          <t>sachets</t>
        </is>
      </c>
      <c r="D48" s="83" t="n">
        <v>45</v>
      </c>
      <c r="E48" s="58" t="n">
        <v>0</v>
      </c>
      <c r="F48" s="58" t="n">
        <v>100</v>
      </c>
      <c r="G48" s="59">
        <f>E48+F48</f>
        <v/>
      </c>
      <c r="H48" s="66">
        <f>G48-I48</f>
        <v/>
      </c>
      <c r="I48" s="67" t="n">
        <v>100</v>
      </c>
      <c r="J48" s="68" t="n">
        <v>100</v>
      </c>
      <c r="K48" s="69">
        <f>J48-I48</f>
        <v/>
      </c>
      <c r="L48" s="70" t="inlineStr">
        <is>
          <t>MATCHED</t>
        </is>
      </c>
      <c r="M48" s="85">
        <f>K48*D48</f>
        <v/>
      </c>
    </row>
    <row r="49" ht="22" customHeight="1">
      <c r="A49" s="42" t="inlineStr">
        <is>
          <t>DLM-002</t>
        </is>
      </c>
      <c r="B49" s="43" t="inlineStr">
        <is>
          <t>Dilmah Earl Grey Tea</t>
        </is>
      </c>
      <c r="C49" s="44" t="inlineStr">
        <is>
          <t>sachets</t>
        </is>
      </c>
      <c r="D49" s="81" t="n">
        <v>45</v>
      </c>
      <c r="E49" s="46" t="n">
        <v>0</v>
      </c>
      <c r="F49" s="46" t="n">
        <v>100</v>
      </c>
      <c r="G49" s="47">
        <f>E49+F49</f>
        <v/>
      </c>
      <c r="H49" s="66">
        <f>G49-I49</f>
        <v/>
      </c>
      <c r="I49" s="67" t="n">
        <v>93</v>
      </c>
      <c r="J49" s="68" t="n">
        <v>93</v>
      </c>
      <c r="K49" s="69">
        <f>J49-I49</f>
        <v/>
      </c>
      <c r="L49" s="70" t="inlineStr">
        <is>
          <t>MATCHED</t>
        </is>
      </c>
      <c r="M49" s="85">
        <f>K49*D49</f>
        <v/>
      </c>
    </row>
    <row r="50" ht="22" customHeight="1">
      <c r="A50" s="54" t="inlineStr">
        <is>
          <t>DLM-003</t>
        </is>
      </c>
      <c r="B50" s="55" t="inlineStr">
        <is>
          <t>Dilmah Pure Peppermint Leaves Tea</t>
        </is>
      </c>
      <c r="C50" s="56" t="inlineStr">
        <is>
          <t>sachets</t>
        </is>
      </c>
      <c r="D50" s="83" t="n">
        <v>45</v>
      </c>
      <c r="E50" s="58" t="n">
        <v>0</v>
      </c>
      <c r="F50" s="58" t="n">
        <v>100</v>
      </c>
      <c r="G50" s="59">
        <f>E50+F50</f>
        <v/>
      </c>
      <c r="H50" s="66">
        <f>G50-I50</f>
        <v/>
      </c>
      <c r="I50" s="67" t="n">
        <v>98</v>
      </c>
      <c r="J50" s="68" t="n">
        <v>98</v>
      </c>
      <c r="K50" s="69">
        <f>J50-I50</f>
        <v/>
      </c>
      <c r="L50" s="70" t="inlineStr">
        <is>
          <t>MATCHED</t>
        </is>
      </c>
      <c r="M50" s="85">
        <f>K50*D50</f>
        <v/>
      </c>
    </row>
    <row r="51" ht="22" customHeight="1">
      <c r="A51" s="42" t="inlineStr">
        <is>
          <t>DLM-004</t>
        </is>
      </c>
      <c r="B51" s="43" t="inlineStr">
        <is>
          <t>Dilmah Gourmet Pure Green Tea</t>
        </is>
      </c>
      <c r="C51" s="44" t="inlineStr">
        <is>
          <t>sachets</t>
        </is>
      </c>
      <c r="D51" s="81" t="n">
        <v>45</v>
      </c>
      <c r="E51" s="46" t="n">
        <v>0</v>
      </c>
      <c r="F51" s="46" t="n">
        <v>100</v>
      </c>
      <c r="G51" s="47">
        <f>E51+F51</f>
        <v/>
      </c>
      <c r="H51" s="66">
        <f>G51-I51</f>
        <v/>
      </c>
      <c r="I51" s="67" t="n">
        <v>100</v>
      </c>
      <c r="J51" s="68" t="n">
        <v>100</v>
      </c>
      <c r="K51" s="69">
        <f>J51-I51</f>
        <v/>
      </c>
      <c r="L51" s="70" t="inlineStr">
        <is>
          <t>MATCHED</t>
        </is>
      </c>
      <c r="M51" s="85">
        <f>K51*D51</f>
        <v/>
      </c>
    </row>
    <row r="52" ht="22" customHeight="1">
      <c r="A52" s="54" t="inlineStr">
        <is>
          <t>DLM-005</t>
        </is>
      </c>
      <c r="B52" s="55" t="inlineStr">
        <is>
          <t>Dilmah Traditional Oolong Tea</t>
        </is>
      </c>
      <c r="C52" s="56" t="inlineStr">
        <is>
          <t>sachets</t>
        </is>
      </c>
      <c r="D52" s="83" t="n">
        <v>45</v>
      </c>
      <c r="E52" s="58" t="n">
        <v>0</v>
      </c>
      <c r="F52" s="58" t="n">
        <v>100</v>
      </c>
      <c r="G52" s="59">
        <f>E52+F52</f>
        <v/>
      </c>
      <c r="H52" s="66">
        <f>G52-I52</f>
        <v/>
      </c>
      <c r="I52" s="67" t="n">
        <v>100</v>
      </c>
      <c r="J52" s="68" t="n">
        <v>100</v>
      </c>
      <c r="K52" s="69">
        <f>J52-I52</f>
        <v/>
      </c>
      <c r="L52" s="70" t="inlineStr">
        <is>
          <t>MATCHED</t>
        </is>
      </c>
      <c r="M52" s="85">
        <f>K52*D52</f>
        <v/>
      </c>
    </row>
    <row r="53" ht="22" customHeight="1">
      <c r="A53" s="42" t="inlineStr">
        <is>
          <t>DLM-006</t>
        </is>
      </c>
      <c r="B53" s="43" t="inlineStr">
        <is>
          <t>Dilmah Green Tea with Jasmine</t>
        </is>
      </c>
      <c r="C53" s="44" t="inlineStr">
        <is>
          <t>sachets</t>
        </is>
      </c>
      <c r="D53" s="81" t="n">
        <v>45</v>
      </c>
      <c r="E53" s="46" t="n">
        <v>0</v>
      </c>
      <c r="F53" s="46" t="n">
        <v>100</v>
      </c>
      <c r="G53" s="47">
        <f>E53+F53</f>
        <v/>
      </c>
      <c r="H53" s="66">
        <f>G53-I53</f>
        <v/>
      </c>
      <c r="I53" s="67" t="n">
        <v>100</v>
      </c>
      <c r="J53" s="68" t="n">
        <v>100</v>
      </c>
      <c r="K53" s="69">
        <f>J53-I53</f>
        <v/>
      </c>
      <c r="L53" s="70" t="inlineStr">
        <is>
          <t>MATCHED</t>
        </is>
      </c>
      <c r="M53" s="85">
        <f>K53*D53</f>
        <v/>
      </c>
    </row>
    <row r="54" ht="24" customHeight="1">
      <c r="A54" s="41" t="inlineStr">
        <is>
          <t>🥨  8. GRAB-AND-GO RETAIL SNACKS</t>
        </is>
      </c>
    </row>
    <row r="55" ht="22" customHeight="1">
      <c r="A55" s="54" t="inlineStr">
        <is>
          <t>SNK-001</t>
        </is>
      </c>
      <c r="B55" s="55" t="inlineStr">
        <is>
          <t>Pringles Cheddar Cheese 158g</t>
        </is>
      </c>
      <c r="C55" s="56" t="inlineStr">
        <is>
          <t>cans</t>
        </is>
      </c>
      <c r="D55" s="83" t="n">
        <v>98</v>
      </c>
      <c r="E55" s="58" t="n">
        <v>0</v>
      </c>
      <c r="F55" s="58" t="n">
        <v>3</v>
      </c>
      <c r="G55" s="59">
        <f>E55+F55</f>
        <v/>
      </c>
      <c r="H55" s="66">
        <f>G55-I55</f>
        <v/>
      </c>
      <c r="I55" s="67" t="n">
        <v>3</v>
      </c>
      <c r="J55" s="68" t="n">
        <v>3</v>
      </c>
      <c r="K55" s="69">
        <f>J55-I55</f>
        <v/>
      </c>
      <c r="L55" s="70" t="inlineStr">
        <is>
          <t>MATCHED</t>
        </is>
      </c>
      <c r="M55" s="85">
        <f>K55*D55</f>
        <v/>
      </c>
    </row>
    <row r="56" ht="22" customHeight="1">
      <c r="A56" s="42" t="inlineStr">
        <is>
          <t>SNK-002</t>
        </is>
      </c>
      <c r="B56" s="43" t="inlineStr">
        <is>
          <t>Pringles Original 158g</t>
        </is>
      </c>
      <c r="C56" s="44" t="inlineStr">
        <is>
          <t>cans</t>
        </is>
      </c>
      <c r="D56" s="81" t="n">
        <v>98</v>
      </c>
      <c r="E56" s="46" t="n">
        <v>0</v>
      </c>
      <c r="F56" s="46" t="n">
        <v>3</v>
      </c>
      <c r="G56" s="47">
        <f>E56+F56</f>
        <v/>
      </c>
      <c r="H56" s="66">
        <f>G56-I56</f>
        <v/>
      </c>
      <c r="I56" s="67" t="n">
        <v>3</v>
      </c>
      <c r="J56" s="68" t="n">
        <v>3</v>
      </c>
      <c r="K56" s="69">
        <f>J56-I56</f>
        <v/>
      </c>
      <c r="L56" s="70" t="inlineStr">
        <is>
          <t>MATCHED</t>
        </is>
      </c>
      <c r="M56" s="85">
        <f>K56*D56</f>
        <v/>
      </c>
    </row>
    <row r="57" ht="22" customHeight="1">
      <c r="A57" s="54" t="inlineStr">
        <is>
          <t>SNK-003</t>
        </is>
      </c>
      <c r="B57" s="55" t="inlineStr">
        <is>
          <t>Pringles Sour Cream &amp; Onion 158g</t>
        </is>
      </c>
      <c r="C57" s="56" t="inlineStr">
        <is>
          <t>cans</t>
        </is>
      </c>
      <c r="D57" s="83" t="n">
        <v>98</v>
      </c>
      <c r="E57" s="58" t="n">
        <v>0</v>
      </c>
      <c r="F57" s="58" t="n">
        <v>3</v>
      </c>
      <c r="G57" s="59">
        <f>E57+F57</f>
        <v/>
      </c>
      <c r="H57" s="66">
        <f>G57-I57</f>
        <v/>
      </c>
      <c r="I57" s="67" t="n">
        <v>0</v>
      </c>
      <c r="J57" s="68" t="n">
        <v>0</v>
      </c>
      <c r="K57" s="69">
        <f>J57-I57</f>
        <v/>
      </c>
      <c r="L57" s="70" t="inlineStr">
        <is>
          <t>MATCHED</t>
        </is>
      </c>
      <c r="M57" s="85">
        <f>K57*D57</f>
        <v/>
      </c>
    </row>
    <row r="58" ht="22" customHeight="1">
      <c r="A58" s="42" t="inlineStr">
        <is>
          <t>SNK-004</t>
        </is>
      </c>
      <c r="B58" s="43" t="inlineStr">
        <is>
          <t>Cheetos Cheddar Jalapeño 226.8g</t>
        </is>
      </c>
      <c r="C58" s="44" t="inlineStr">
        <is>
          <t>packs</t>
        </is>
      </c>
      <c r="D58" s="81" t="n">
        <v>98</v>
      </c>
      <c r="E58" s="46" t="n">
        <v>0</v>
      </c>
      <c r="F58" s="46" t="n">
        <v>3</v>
      </c>
      <c r="G58" s="47">
        <f>E58+F58</f>
        <v/>
      </c>
      <c r="H58" s="66">
        <f>G58-I58</f>
        <v/>
      </c>
      <c r="I58" s="67" t="n">
        <v>3</v>
      </c>
      <c r="J58" s="68" t="n">
        <v>3</v>
      </c>
      <c r="K58" s="69">
        <f>J58-I58</f>
        <v/>
      </c>
      <c r="L58" s="70" t="inlineStr">
        <is>
          <t>MATCHED</t>
        </is>
      </c>
      <c r="M58" s="85">
        <f>K58*D58</f>
        <v/>
      </c>
    </row>
    <row r="59" ht="22" customHeight="1">
      <c r="A59" s="54" t="inlineStr">
        <is>
          <t>SNK-005</t>
        </is>
      </c>
      <c r="B59" s="55" t="inlineStr">
        <is>
          <t>Butter Lover Popcorn Bags</t>
        </is>
      </c>
      <c r="C59" s="56" t="inlineStr">
        <is>
          <t>bags</t>
        </is>
      </c>
      <c r="D59" s="83" t="n">
        <v>85</v>
      </c>
      <c r="E59" s="58" t="n">
        <v>0</v>
      </c>
      <c r="F59" s="58" t="n">
        <v>32</v>
      </c>
      <c r="G59" s="59">
        <f>E59+F59</f>
        <v/>
      </c>
      <c r="H59" s="66">
        <f>G59-I59</f>
        <v/>
      </c>
      <c r="I59" s="67" t="n">
        <v>32</v>
      </c>
      <c r="J59" s="68" t="n">
        <v>32</v>
      </c>
      <c r="K59" s="69">
        <f>J59-I59</f>
        <v/>
      </c>
      <c r="L59" s="70" t="inlineStr">
        <is>
          <t>MATCHED</t>
        </is>
      </c>
      <c r="M59" s="85">
        <f>K59*D59</f>
        <v/>
      </c>
    </row>
    <row r="60" ht="24" customHeight="1">
      <c r="A60" s="41" t="inlineStr">
        <is>
          <t>🥤  9. RETAIL DRINKS, WATER &amp; BEERS</t>
        </is>
      </c>
    </row>
    <row r="61" ht="22" customHeight="1">
      <c r="A61" s="42" t="inlineStr">
        <is>
          <t>BEV-001</t>
        </is>
      </c>
      <c r="B61" s="43" t="inlineStr">
        <is>
          <t>Coca-Cola Zero Sugar 320ml Can</t>
        </is>
      </c>
      <c r="C61" s="44" t="inlineStr">
        <is>
          <t>cans</t>
        </is>
      </c>
      <c r="D61" s="81" t="n">
        <v>35</v>
      </c>
      <c r="E61" s="46" t="n">
        <v>0</v>
      </c>
      <c r="F61" s="46" t="n">
        <v>24</v>
      </c>
      <c r="G61" s="47">
        <f>E61+F61</f>
        <v/>
      </c>
      <c r="H61" s="48">
        <f>G61-I61</f>
        <v/>
      </c>
      <c r="I61" s="49" t="n">
        <v>19</v>
      </c>
      <c r="J61" s="50" t="n">
        <v>20</v>
      </c>
      <c r="K61" s="51">
        <f>J61-I61</f>
        <v/>
      </c>
      <c r="L61" s="52" t="inlineStr">
        <is>
          <t>SURPLUS</t>
        </is>
      </c>
      <c r="M61" s="82">
        <f>K61*D61</f>
        <v/>
      </c>
    </row>
    <row r="62" ht="22" customHeight="1">
      <c r="A62" s="54" t="inlineStr">
        <is>
          <t>BEV-002</t>
        </is>
      </c>
      <c r="B62" s="55" t="inlineStr">
        <is>
          <t>Coca-Cola Regular 320ml Can</t>
        </is>
      </c>
      <c r="C62" s="56" t="inlineStr">
        <is>
          <t>cans</t>
        </is>
      </c>
      <c r="D62" s="83" t="n">
        <v>35</v>
      </c>
      <c r="E62" s="58" t="n">
        <v>0</v>
      </c>
      <c r="F62" s="58" t="n">
        <v>24</v>
      </c>
      <c r="G62" s="59">
        <f>E62+F62</f>
        <v/>
      </c>
      <c r="H62" s="48">
        <f>G62-I62</f>
        <v/>
      </c>
      <c r="I62" s="67" t="n">
        <v>24</v>
      </c>
      <c r="J62" s="68" t="n">
        <v>24</v>
      </c>
      <c r="K62" s="69">
        <f>J62-I62</f>
        <v/>
      </c>
      <c r="L62" s="70" t="inlineStr">
        <is>
          <t>MATCHED</t>
        </is>
      </c>
      <c r="M62" s="85">
        <f>K62*D62</f>
        <v/>
      </c>
    </row>
    <row r="63" ht="22" customHeight="1">
      <c r="A63" s="42" t="inlineStr">
        <is>
          <t>BEV-003</t>
        </is>
      </c>
      <c r="B63" s="43" t="inlineStr">
        <is>
          <t>Sprite Soda 320ml Can</t>
        </is>
      </c>
      <c r="C63" s="44" t="inlineStr">
        <is>
          <t>cans</t>
        </is>
      </c>
      <c r="D63" s="81" t="n">
        <v>35</v>
      </c>
      <c r="E63" s="46" t="n">
        <v>0</v>
      </c>
      <c r="F63" s="46" t="n">
        <v>24</v>
      </c>
      <c r="G63" s="47">
        <f>E63+F63</f>
        <v/>
      </c>
      <c r="H63" s="48">
        <f>G63-I63</f>
        <v/>
      </c>
      <c r="I63" s="67" t="n">
        <v>21</v>
      </c>
      <c r="J63" s="68" t="n">
        <v>21</v>
      </c>
      <c r="K63" s="69">
        <f>J63-I63</f>
        <v/>
      </c>
      <c r="L63" s="70" t="inlineStr">
        <is>
          <t>MATCHED</t>
        </is>
      </c>
      <c r="M63" s="85">
        <f>K63*D63</f>
        <v/>
      </c>
    </row>
    <row r="64" ht="22" customHeight="1">
      <c r="A64" s="54" t="inlineStr">
        <is>
          <t>BEV-004</t>
        </is>
      </c>
      <c r="B64" s="55" t="inlineStr">
        <is>
          <t>Sprite 1.5L Bottle (Bar Mixer)</t>
        </is>
      </c>
      <c r="C64" s="56" t="inlineStr">
        <is>
          <t>bottles</t>
        </is>
      </c>
      <c r="D64" s="83" t="n">
        <v>69.5</v>
      </c>
      <c r="E64" s="58" t="n">
        <v>4</v>
      </c>
      <c r="F64" s="58" t="n">
        <v>6</v>
      </c>
      <c r="G64" s="65">
        <f>E64+F64</f>
        <v/>
      </c>
      <c r="H64" s="48">
        <f>G64-I64</f>
        <v/>
      </c>
      <c r="I64" s="78" t="n">
        <v>1.5</v>
      </c>
      <c r="J64" s="61" t="inlineStr">
        <is>
          <t>1.348g</t>
        </is>
      </c>
      <c r="K64" s="62" t="n">
        <v>-0.6</v>
      </c>
      <c r="L64" s="63" t="inlineStr">
        <is>
          <t>SHORTAGE</t>
        </is>
      </c>
      <c r="M64" s="84" t="n">
        <v>-41.7</v>
      </c>
    </row>
    <row r="65" ht="22" customHeight="1">
      <c r="A65" s="42" t="inlineStr">
        <is>
          <t>BEV-005</t>
        </is>
      </c>
      <c r="B65" s="43" t="inlineStr">
        <is>
          <t>Nature Spring Mineral Water 500ml</t>
        </is>
      </c>
      <c r="C65" s="44" t="inlineStr">
        <is>
          <t>bottles</t>
        </is>
      </c>
      <c r="D65" s="81" t="n">
        <v>12</v>
      </c>
      <c r="E65" s="46" t="n">
        <v>0</v>
      </c>
      <c r="F65" s="46" t="n">
        <v>35</v>
      </c>
      <c r="G65" s="47">
        <f>E65+F65</f>
        <v/>
      </c>
      <c r="H65" s="48">
        <f>G65-I65</f>
        <v/>
      </c>
      <c r="I65" s="49" t="n">
        <v>0</v>
      </c>
      <c r="J65" s="50" t="n">
        <v>70</v>
      </c>
      <c r="K65" s="51">
        <f>J65-I65</f>
        <v/>
      </c>
      <c r="L65" s="52" t="inlineStr">
        <is>
          <t>SURPLUS</t>
        </is>
      </c>
      <c r="M65" s="82">
        <f>K65*D65</f>
        <v/>
      </c>
    </row>
    <row r="66" ht="22" customHeight="1">
      <c r="A66" s="54" t="inlineStr">
        <is>
          <t>BEV-006</t>
        </is>
      </c>
      <c r="B66" s="55" t="inlineStr">
        <is>
          <t>Nature Spring Mineral Water 1L</t>
        </is>
      </c>
      <c r="C66" s="56" t="inlineStr">
        <is>
          <t>bottles</t>
        </is>
      </c>
      <c r="D66" s="83" t="n">
        <v>18</v>
      </c>
      <c r="E66" s="58" t="n">
        <v>0</v>
      </c>
      <c r="F66" s="58" t="n">
        <v>20</v>
      </c>
      <c r="G66" s="59">
        <f>E66+F66</f>
        <v/>
      </c>
      <c r="H66" s="48">
        <f>G66-I66</f>
        <v/>
      </c>
      <c r="I66" s="67" t="n">
        <v>15</v>
      </c>
      <c r="J66" s="68" t="n">
        <v>15</v>
      </c>
      <c r="K66" s="69">
        <f>J66-I66</f>
        <v/>
      </c>
      <c r="L66" s="70" t="inlineStr">
        <is>
          <t>MATCHED</t>
        </is>
      </c>
      <c r="M66" s="85">
        <f>K66*D66</f>
        <v/>
      </c>
    </row>
    <row r="67" ht="22" customHeight="1">
      <c r="A67" s="42" t="inlineStr">
        <is>
          <t>BEV-007</t>
        </is>
      </c>
      <c r="B67" s="43" t="inlineStr">
        <is>
          <t>Red Horse Stallion Beer 330ml</t>
        </is>
      </c>
      <c r="C67" s="44" t="inlineStr">
        <is>
          <t>bottles</t>
        </is>
      </c>
      <c r="D67" s="81" t="n">
        <v>55</v>
      </c>
      <c r="E67" s="46" t="n">
        <v>0</v>
      </c>
      <c r="F67" s="46" t="n">
        <v>48</v>
      </c>
      <c r="G67" s="47">
        <f>E67+F67</f>
        <v/>
      </c>
      <c r="H67" s="48">
        <f>G67-I67</f>
        <v/>
      </c>
      <c r="I67" s="67" t="n">
        <v>39</v>
      </c>
      <c r="J67" s="68" t="n">
        <v>39</v>
      </c>
      <c r="K67" s="69">
        <f>J67-I67</f>
        <v/>
      </c>
      <c r="L67" s="70" t="inlineStr">
        <is>
          <t>MATCHED</t>
        </is>
      </c>
      <c r="M67" s="85">
        <f>K67*D67</f>
        <v/>
      </c>
    </row>
    <row r="68" ht="22" customHeight="1">
      <c r="A68" s="54" t="inlineStr">
        <is>
          <t>BEV-008</t>
        </is>
      </c>
      <c r="B68" s="55" t="inlineStr">
        <is>
          <t>San Miguel Pale Pilsen 320ml</t>
        </is>
      </c>
      <c r="C68" s="56" t="inlineStr">
        <is>
          <t>bottles</t>
        </is>
      </c>
      <c r="D68" s="83" t="n">
        <v>52</v>
      </c>
      <c r="E68" s="58" t="n">
        <v>0</v>
      </c>
      <c r="F68" s="58" t="n">
        <v>48</v>
      </c>
      <c r="G68" s="59">
        <f>E68+F68</f>
        <v/>
      </c>
      <c r="H68" s="48">
        <f>G68-I68</f>
        <v/>
      </c>
      <c r="I68" s="49" t="n">
        <v>44</v>
      </c>
      <c r="J68" s="50" t="n">
        <v>46</v>
      </c>
      <c r="K68" s="51">
        <f>J68-I68</f>
        <v/>
      </c>
      <c r="L68" s="52" t="inlineStr">
        <is>
          <t>SURPLUS</t>
        </is>
      </c>
      <c r="M68" s="82">
        <f>K68*D68</f>
        <v/>
      </c>
    </row>
    <row r="69" ht="22" customHeight="1">
      <c r="A69" s="42" t="inlineStr">
        <is>
          <t>BEV-009</t>
        </is>
      </c>
      <c r="B69" s="43" t="inlineStr">
        <is>
          <t>San Mig Light - Apple 330ml</t>
        </is>
      </c>
      <c r="C69" s="44" t="inlineStr">
        <is>
          <t>bottles</t>
        </is>
      </c>
      <c r="D69" s="81" t="n">
        <v>48</v>
      </c>
      <c r="E69" s="46" t="n">
        <v>0</v>
      </c>
      <c r="F69" s="46" t="n">
        <v>24</v>
      </c>
      <c r="G69" s="47">
        <f>E69+F69</f>
        <v/>
      </c>
      <c r="H69" s="48">
        <f>G69-I69</f>
        <v/>
      </c>
      <c r="I69" s="49" t="n">
        <v>22</v>
      </c>
      <c r="J69" s="50" t="n">
        <v>24</v>
      </c>
      <c r="K69" s="51">
        <f>J69-I69</f>
        <v/>
      </c>
      <c r="L69" s="52" t="inlineStr">
        <is>
          <t>SURPLUS</t>
        </is>
      </c>
      <c r="M69" s="82">
        <f>K69*D69</f>
        <v/>
      </c>
    </row>
    <row r="70" ht="22" customHeight="1">
      <c r="A70" s="54" t="inlineStr">
        <is>
          <t>BEV-010</t>
        </is>
      </c>
      <c r="B70" s="55" t="inlineStr">
        <is>
          <t>Evian Natural Spring Water 500ml</t>
        </is>
      </c>
      <c r="C70" s="56" t="inlineStr">
        <is>
          <t>bottles</t>
        </is>
      </c>
      <c r="D70" s="83" t="n">
        <v>95</v>
      </c>
      <c r="E70" s="58" t="n">
        <v>0</v>
      </c>
      <c r="F70" s="58" t="n">
        <v>6</v>
      </c>
      <c r="G70" s="59">
        <f>E70+F70</f>
        <v/>
      </c>
      <c r="H70" s="48">
        <f>G70-I70</f>
        <v/>
      </c>
      <c r="I70" s="67" t="n">
        <v>6</v>
      </c>
      <c r="J70" s="68" t="n">
        <v>6</v>
      </c>
      <c r="K70" s="69">
        <f>J70-I70</f>
        <v/>
      </c>
      <c r="L70" s="70" t="inlineStr">
        <is>
          <t>MATCHED</t>
        </is>
      </c>
      <c r="M70" s="85">
        <f>K70*D70</f>
        <v/>
      </c>
    </row>
    <row r="71" ht="22" customHeight="1">
      <c r="A71" s="42" t="inlineStr">
        <is>
          <t>BEV-011</t>
        </is>
      </c>
      <c r="B71" s="43" t="inlineStr">
        <is>
          <t>Perrier Sparkling Mineral Water 330ml</t>
        </is>
      </c>
      <c r="C71" s="44" t="inlineStr">
        <is>
          <t>bottles</t>
        </is>
      </c>
      <c r="D71" s="81" t="n">
        <v>110</v>
      </c>
      <c r="E71" s="46" t="n">
        <v>0</v>
      </c>
      <c r="F71" s="46" t="n">
        <v>4</v>
      </c>
      <c r="G71" s="47">
        <f>E71+F71</f>
        <v/>
      </c>
      <c r="H71" s="48">
        <f>G71-I71</f>
        <v/>
      </c>
      <c r="I71" s="67" t="n">
        <v>4</v>
      </c>
      <c r="J71" s="68" t="n">
        <v>4</v>
      </c>
      <c r="K71" s="69">
        <f>J71-I71</f>
        <v/>
      </c>
      <c r="L71" s="70" t="inlineStr">
        <is>
          <t>MATCHED</t>
        </is>
      </c>
      <c r="M71" s="85">
        <f>K71*D71</f>
        <v/>
      </c>
    </row>
    <row r="76">
      <c r="B76" t="inlineStr">
        <is>
          <t>Requested Items</t>
        </is>
      </c>
      <c r="C76" t="inlineStr">
        <is>
          <t>Count</t>
        </is>
      </c>
      <c r="D76" t="inlineStr">
        <is>
          <t>Requested Item</t>
        </is>
      </c>
      <c r="E76" t="inlineStr">
        <is>
          <t>Desisyon</t>
        </is>
      </c>
    </row>
    <row r="77">
      <c r="B77" t="inlineStr">
        <is>
          <t>Coffee Beans</t>
        </is>
      </c>
      <c r="C77" t="n">
        <v>3</v>
      </c>
      <c r="D77" s="80" t="inlineStr">
        <is>
          <t>10packs</t>
        </is>
      </c>
      <c r="E77" s="80" t="inlineStr">
        <is>
          <t>Yes</t>
        </is>
      </c>
    </row>
    <row r="78">
      <c r="B78" t="inlineStr">
        <is>
          <t>Sprite 1.5L Bottle (Bar Mixer)</t>
        </is>
      </c>
      <c r="C78" t="inlineStr">
        <is>
          <t>1.348g</t>
        </is>
      </c>
      <c r="D78" s="80" t="inlineStr">
        <is>
          <t>5 x 1.5L</t>
        </is>
      </c>
      <c r="E78" s="80" t="inlineStr">
        <is>
          <t>Yes</t>
        </is>
      </c>
    </row>
    <row r="79">
      <c r="B79" t="inlineStr">
        <is>
          <t>SHOTT Pink Guava Syrup 1L</t>
        </is>
      </c>
      <c r="C79" t="inlineStr">
        <is>
          <t>20g</t>
        </is>
      </c>
      <c r="D79" s="80" t="inlineStr">
        <is>
          <t>1L</t>
        </is>
      </c>
      <c r="E79" s="80" t="inlineStr">
        <is>
          <t>Yes</t>
        </is>
      </c>
      <c r="F79" t="inlineStr">
        <is>
          <t xml:space="preserve">Created 44 cups </t>
        </is>
      </c>
    </row>
    <row r="80">
      <c r="B80" t="inlineStr">
        <is>
          <t xml:space="preserve">Lotus Biscoff Biscuits </t>
        </is>
      </c>
      <c r="D80" t="inlineStr">
        <is>
          <t>2 packs</t>
        </is>
      </c>
      <c r="E80" s="80" t="inlineStr">
        <is>
          <t>Yes</t>
        </is>
      </c>
      <c r="F80" t="inlineStr">
        <is>
          <t>115cups sold</t>
        </is>
      </c>
    </row>
    <row r="81">
      <c r="B81" t="inlineStr">
        <is>
          <t>Lotus Biscoff Spread</t>
        </is>
      </c>
      <c r="D81" t="inlineStr">
        <is>
          <t>2 bottles</t>
        </is>
      </c>
      <c r="E81" s="80" t="inlineStr">
        <is>
          <t>Yes</t>
        </is>
      </c>
      <c r="F81" t="inlineStr">
        <is>
          <t>115cups sold</t>
        </is>
      </c>
    </row>
    <row r="82">
      <c r="B82" t="inlineStr">
        <is>
          <t>Cream cheese powder</t>
        </is>
      </c>
      <c r="D82" t="inlineStr">
        <is>
          <t>2  packs</t>
        </is>
      </c>
      <c r="E82" s="80" t="inlineStr">
        <is>
          <t>Yes</t>
        </is>
      </c>
    </row>
    <row r="83">
      <c r="B83" t="inlineStr">
        <is>
          <t xml:space="preserve">Sugar Syrup </t>
        </is>
      </c>
      <c r="D83" t="inlineStr">
        <is>
          <t>10 bottles</t>
        </is>
      </c>
      <c r="E83" s="80" t="inlineStr">
        <is>
          <t>Yes</t>
        </is>
      </c>
    </row>
    <row r="84">
      <c r="B84" t="inlineStr">
        <is>
          <t>frappe powder vanilla</t>
        </is>
      </c>
      <c r="D84" t="inlineStr">
        <is>
          <t>1 pack</t>
        </is>
      </c>
      <c r="E84" s="80" t="inlineStr">
        <is>
          <t>Yes</t>
        </is>
      </c>
      <c r="F84" t="inlineStr">
        <is>
          <t>new item</t>
        </is>
      </c>
    </row>
    <row r="85">
      <c r="B85" t="inlineStr">
        <is>
          <t>frappe powder strawberry</t>
        </is>
      </c>
      <c r="D85" t="inlineStr">
        <is>
          <t>1 pack</t>
        </is>
      </c>
      <c r="E85" s="80" t="inlineStr">
        <is>
          <t>Yes</t>
        </is>
      </c>
      <c r="F85" t="inlineStr">
        <is>
          <t>new item</t>
        </is>
      </c>
    </row>
    <row r="86">
      <c r="B86" t="inlineStr">
        <is>
          <t>whipping cream powder</t>
        </is>
      </c>
      <c r="D86" t="inlineStr">
        <is>
          <t>2 packs</t>
        </is>
      </c>
      <c r="E86" s="80" t="inlineStr">
        <is>
          <t>Yes</t>
        </is>
      </c>
    </row>
    <row r="87">
      <c r="B87" t="inlineStr">
        <is>
          <t xml:space="preserve">matcha powder </t>
        </is>
      </c>
      <c r="C87" t="inlineStr">
        <is>
          <t>66.9 g</t>
        </is>
      </c>
      <c r="D87" t="inlineStr">
        <is>
          <t>5 packs</t>
        </is>
      </c>
      <c r="E87" s="80" t="inlineStr">
        <is>
          <t>Yes</t>
        </is>
      </c>
      <c r="F87" t="inlineStr">
        <is>
          <t>1 pack = 100g</t>
        </is>
      </c>
      <c r="G87" t="inlineStr">
        <is>
          <t>last sales 31cups sold of matcha series in 300g</t>
        </is>
      </c>
    </row>
    <row r="88">
      <c r="B88" t="inlineStr">
        <is>
          <t>Pringles Sour Cream</t>
        </is>
      </c>
      <c r="D88" t="inlineStr">
        <is>
          <t>3 tab</t>
        </is>
      </c>
      <c r="E88" s="80" t="inlineStr">
        <is>
          <t>Yes</t>
        </is>
      </c>
      <c r="F88" t="inlineStr">
        <is>
          <t>All have been sold</t>
        </is>
      </c>
    </row>
    <row r="89">
      <c r="B89" t="inlineStr">
        <is>
          <t>muffin assorted and chocolate</t>
        </is>
      </c>
      <c r="D89" t="n">
        <v>1</v>
      </c>
      <c r="E89" s="80" t="inlineStr">
        <is>
          <t>Yes</t>
        </is>
      </c>
      <c r="F89" t="inlineStr">
        <is>
          <t xml:space="preserve"> 3 pulled out expired but the rest sold  </t>
        </is>
      </c>
    </row>
    <row r="90">
      <c r="B90" t="inlineStr">
        <is>
          <t xml:space="preserve">tissue </t>
        </is>
      </c>
      <c r="D90" t="inlineStr">
        <is>
          <t>2 packs</t>
        </is>
      </c>
      <c r="E90" s="80" t="inlineStr">
        <is>
          <t>Yes</t>
        </is>
      </c>
    </row>
    <row r="91">
      <c r="B91" t="inlineStr">
        <is>
          <t>ensaymada</t>
        </is>
      </c>
      <c r="D91" t="n">
        <v>1</v>
      </c>
      <c r="E91" s="80" t="inlineStr">
        <is>
          <t>Yes</t>
        </is>
      </c>
    </row>
    <row r="92">
      <c r="B92" t="inlineStr">
        <is>
          <t>crinkles</t>
        </is>
      </c>
      <c r="D92" t="n">
        <v>2</v>
      </c>
      <c r="E92" s="80" t="inlineStr">
        <is>
          <t>Yes</t>
        </is>
      </c>
    </row>
  </sheetData>
  <mergeCells count="10">
    <mergeCell ref="A60:M60"/>
    <mergeCell ref="A1:M1"/>
    <mergeCell ref="A32:M32"/>
    <mergeCell ref="A8:M8"/>
    <mergeCell ref="A4:M4"/>
    <mergeCell ref="A39:M39"/>
    <mergeCell ref="A24:M24"/>
    <mergeCell ref="A54:M54"/>
    <mergeCell ref="A11:M11"/>
    <mergeCell ref="A47:M47"/>
  </mergeCells>
  <pageMargins left="0.078740157480315" right="0.078740157480315" top="0.078740157480315" bottom="0.078740157480315" header="0.078740157480315" footer="0.078740157480315"/>
  <pageSetup orientation="portrait" paperSize="9" scale="5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4" customWidth="1" min="10" max="10"/>
    <col width="26" customWidth="1" min="11" max="11"/>
    <col width="12" customWidth="1" min="12" max="12"/>
    <col width="13" customWidth="1" min="13" max="13"/>
    <col width="14" customWidth="1" min="14" max="14"/>
    <col width="14" customWidth="1" min="15" max="15"/>
    <col width="24" customWidth="1" min="16" max="16"/>
  </cols>
  <sheetData>
    <row r="1" ht="28" customHeight="1">
      <c r="A1" s="87" t="inlineStr">
        <is>
          <t>📦  ESPRESSO YOURSELF — COMPLETE ITEM STOCK MOVEMENT TRACKER &amp; AUDIT TRANSPARENCY</t>
        </is>
      </c>
    </row>
    <row r="2" ht="18" customHeight="1">
      <c r="A2" s="88" t="inlineStr">
        <is>
          <t>Branch #30 (Cebu City)  |  Full Inflow/Outflow Transparency: Date Additions, Pull-Outs, POS Sales &amp; Verification Log</t>
        </is>
      </c>
    </row>
    <row r="3" ht="20" customHeight="1">
      <c r="A3" s="89" t="inlineStr">
        <is>
          <t>1. ITEM SPECIFICATIONS</t>
        </is>
      </c>
      <c r="E3" s="90" t="inlineStr">
        <is>
          <t>2. ADDED STOCK BREAKDOWN (TRANSPARENT INFLOW)</t>
        </is>
      </c>
      <c r="J3" s="91" t="inlineStr">
        <is>
          <t>3. PULLED OUT (DEDUCTIONS &amp; WASTE)</t>
        </is>
      </c>
      <c r="M3" s="92" t="inlineStr">
        <is>
          <t>4. SOLD</t>
        </is>
      </c>
      <c r="N3" s="93" t="inlineStr">
        <is>
          <t>5. AUDIT RECONCILIATION &amp; STATUS</t>
        </is>
      </c>
    </row>
    <row r="4" ht="30" customHeight="1">
      <c r="A4" s="94" t="inlineStr">
        <is>
          <t>SKU / Code</t>
        </is>
      </c>
      <c r="B4" s="95" t="inlineStr">
        <is>
          <t>Item Description &amp; Brand</t>
        </is>
      </c>
      <c r="C4" s="94" t="inlineStr">
        <is>
          <t>UOM</t>
        </is>
      </c>
      <c r="D4" s="94" t="inlineStr">
        <is>
          <t>Beginning
(Aug 8)</t>
        </is>
      </c>
      <c r="E4" s="94" t="inlineStr">
        <is>
          <t>Added
(Aug 13)</t>
        </is>
      </c>
      <c r="F4" s="94" t="inlineStr">
        <is>
          <t>Added
(Aug 24)</t>
        </is>
      </c>
      <c r="G4" s="94" t="inlineStr">
        <is>
          <t>Added
(Sep 02)</t>
        </is>
      </c>
      <c r="H4" s="94" t="inlineStr">
        <is>
          <t>Added
(Sep 03)</t>
        </is>
      </c>
      <c r="I4" s="94" t="inlineStr">
        <is>
          <t>TOTAL ADDED
(Hover for Log)</t>
        </is>
      </c>
      <c r="J4" s="94" t="inlineStr">
        <is>
          <t>Pulled Out
(Qty Deducted)</t>
        </is>
      </c>
      <c r="K4" s="95" t="inlineStr">
        <is>
          <t>Pull-out Reason &amp;
Staff Authorized</t>
        </is>
      </c>
      <c r="L4" s="94" t="inlineStr">
        <is>
          <t>Pull Date</t>
        </is>
      </c>
      <c r="M4" s="94" t="inlineStr">
        <is>
          <t>Sold
(POS Units)</t>
        </is>
      </c>
      <c r="N4" s="94" t="inlineStr">
        <is>
          <t>Current Stock
(Calculated)</t>
        </is>
      </c>
      <c r="O4" s="94" t="inlineStr">
        <is>
          <t>Actual Count
(Physical)</t>
        </is>
      </c>
      <c r="P4" s="95" t="inlineStr">
        <is>
          <t>Audit Status
&amp; Findings</t>
        </is>
      </c>
    </row>
    <row r="5" ht="22" customHeight="1">
      <c r="A5" s="96" t="inlineStr">
        <is>
          <t>📦  1. CUPS &amp; PACKAGING CONSUMABLES</t>
        </is>
      </c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  <c r="P5" s="97" t="n"/>
    </row>
    <row r="6" ht="20" customHeight="1">
      <c r="A6" s="98" t="inlineStr">
        <is>
          <t>PKG-001</t>
        </is>
      </c>
      <c r="B6" s="99" t="inlineStr">
        <is>
          <t>Plastic Cup 16oz (Cold PET)</t>
        </is>
      </c>
      <c r="C6" s="98" t="inlineStr">
        <is>
          <t>pcs</t>
        </is>
      </c>
      <c r="D6" s="100" t="n">
        <v>300</v>
      </c>
      <c r="E6" s="100" t="n">
        <v>500</v>
      </c>
      <c r="F6" s="100" t="inlineStr">
        <is>
          <t>-</t>
        </is>
      </c>
      <c r="G6" s="100" t="inlineStr">
        <is>
          <t>-</t>
        </is>
      </c>
      <c r="H6" s="100" t="inlineStr">
        <is>
          <t>-</t>
        </is>
      </c>
      <c r="I6" s="101">
        <f>SUM(E6:H6)</f>
        <v/>
      </c>
      <c r="J6" s="102" t="n">
        <v>10</v>
      </c>
      <c r="K6" s="99" t="inlineStr">
        <is>
          <t>Damaged / crushed rims during delivery unboxing</t>
        </is>
      </c>
      <c r="L6" s="98" t="inlineStr">
        <is>
          <t>2026-08-20</t>
        </is>
      </c>
      <c r="M6" s="103" t="inlineStr">
        <is>
          <t>-</t>
        </is>
      </c>
      <c r="N6" s="104">
        <f>D6+I6-(IF(ISNUMBER(J6),J6,0))-(IF(ISNUMBER(M6),M6,0))</f>
        <v/>
      </c>
      <c r="O6" s="100" t="n">
        <v>768</v>
      </c>
      <c r="P6" s="105" t="inlineStr">
        <is>
          <t>SURPLUS</t>
        </is>
      </c>
    </row>
    <row r="7" ht="20" customHeight="1">
      <c r="A7" s="98" t="inlineStr">
        <is>
          <t>PKG-002</t>
        </is>
      </c>
      <c r="B7" s="99" t="inlineStr">
        <is>
          <t>Paper Cup 16oz (Hot Large)</t>
        </is>
      </c>
      <c r="C7" s="98" t="inlineStr">
        <is>
          <t>pcs</t>
        </is>
      </c>
      <c r="D7" s="100" t="n">
        <v>300</v>
      </c>
      <c r="E7" s="100" t="n">
        <v>400</v>
      </c>
      <c r="F7" s="100" t="inlineStr">
        <is>
          <t>-</t>
        </is>
      </c>
      <c r="G7" s="100" t="inlineStr">
        <is>
          <t>-</t>
        </is>
      </c>
      <c r="H7" s="100" t="inlineStr">
        <is>
          <t>-</t>
        </is>
      </c>
      <c r="I7" s="101">
        <f>SUM(E7:H7)</f>
        <v/>
      </c>
      <c r="J7" s="102" t="n">
        <v>8</v>
      </c>
      <c r="K7" s="99" t="inlineStr">
        <is>
          <t>Defective seams leak testing</t>
        </is>
      </c>
      <c r="L7" s="98" t="inlineStr">
        <is>
          <t>2026-08-21</t>
        </is>
      </c>
      <c r="M7" s="103" t="inlineStr">
        <is>
          <t>-</t>
        </is>
      </c>
      <c r="N7" s="104">
        <f>D7+I7-(IF(ISNUMBER(J7),J7,0))-(IF(ISNUMBER(M7),M7,0))</f>
        <v/>
      </c>
      <c r="O7" s="100" t="n">
        <v>944</v>
      </c>
      <c r="P7" s="105" t="inlineStr">
        <is>
          <t>SURPLUS</t>
        </is>
      </c>
    </row>
    <row r="8" ht="20" customHeight="1">
      <c r="A8" s="98" t="inlineStr">
        <is>
          <t>PKG-003</t>
        </is>
      </c>
      <c r="B8" s="99" t="inlineStr">
        <is>
          <t>Paper Cup 8oz (Hot Small)</t>
        </is>
      </c>
      <c r="C8" s="98" t="inlineStr">
        <is>
          <t>pcs</t>
        </is>
      </c>
      <c r="D8" s="100" t="n">
        <v>250</v>
      </c>
      <c r="E8" s="100" t="n">
        <v>750</v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1">
        <f>SUM(E8:H8)</f>
        <v/>
      </c>
      <c r="J8" s="100" t="inlineStr">
        <is>
          <t>-</t>
        </is>
      </c>
      <c r="K8" s="99" t="inlineStr">
        <is>
          <t>-</t>
        </is>
      </c>
      <c r="L8" s="98" t="inlineStr">
        <is>
          <t>-</t>
        </is>
      </c>
      <c r="M8" s="103" t="inlineStr">
        <is>
          <t>-</t>
        </is>
      </c>
      <c r="N8" s="104">
        <f>D8+I8-(IF(ISNUMBER(J8),J8,0))-(IF(ISNUMBER(M8),M8,0))</f>
        <v/>
      </c>
      <c r="O8" s="100" t="n">
        <v>924</v>
      </c>
      <c r="P8" s="106" t="inlineStr">
        <is>
          <t>SHORTAGE</t>
        </is>
      </c>
    </row>
    <row r="9" ht="22" customHeight="1">
      <c r="A9" s="96" t="inlineStr">
        <is>
          <t>☕  2. COFFEE BEANS &amp; SPECIALTY ROASTS</t>
        </is>
      </c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  <c r="P9" s="97" t="n"/>
    </row>
    <row r="10" ht="20" customHeight="1">
      <c r="A10" s="98" t="inlineStr">
        <is>
          <t>ING-001</t>
        </is>
      </c>
      <c r="B10" s="99" t="inlineStr">
        <is>
          <t>Concept Blend 1 (Espresso Beans)</t>
        </is>
      </c>
      <c r="C10" s="98" t="inlineStr">
        <is>
          <t>pack (1kg)</t>
        </is>
      </c>
      <c r="D10" s="100" t="n">
        <v>10</v>
      </c>
      <c r="E10" s="100" t="inlineStr">
        <is>
          <t>-</t>
        </is>
      </c>
      <c r="F10" s="100" t="inlineStr">
        <is>
          <t>-</t>
        </is>
      </c>
      <c r="G10" s="100" t="inlineStr">
        <is>
          <t>-</t>
        </is>
      </c>
      <c r="H10" s="100" t="inlineStr">
        <is>
          <t>-</t>
        </is>
      </c>
      <c r="I10" s="101">
        <f>SUM(E10:H10)</f>
        <v/>
      </c>
      <c r="J10" s="102" t="n">
        <v>1</v>
      </c>
      <c r="K10" s="99" t="inlineStr">
        <is>
          <t>Espresso grinder dial-in &amp; calibration waste</t>
        </is>
      </c>
      <c r="L10" s="98" t="inlineStr">
        <is>
          <t>2026-08-15</t>
        </is>
      </c>
      <c r="M10" s="103" t="inlineStr">
        <is>
          <t>-</t>
        </is>
      </c>
      <c r="N10" s="104">
        <f>D10+I10-(IF(ISNUMBER(J10),J10,0))-(IF(ISNUMBER(M10),M10,0))</f>
        <v/>
      </c>
      <c r="O10" s="100" t="n">
        <v>3</v>
      </c>
      <c r="P10" s="107" t="inlineStr">
        <is>
          <t>MATCHED</t>
        </is>
      </c>
    </row>
    <row r="11" ht="20" customHeight="1">
      <c r="A11" s="98" t="inlineStr">
        <is>
          <t>ING-002</t>
        </is>
      </c>
      <c r="B11" s="99" t="inlineStr">
        <is>
          <t>Australia's Own / Artisanal Roast</t>
        </is>
      </c>
      <c r="C11" s="98" t="inlineStr">
        <is>
          <t>pack (1kg)</t>
        </is>
      </c>
      <c r="D11" s="100" t="n">
        <v>0</v>
      </c>
      <c r="E11" s="100" t="n">
        <v>1</v>
      </c>
      <c r="F11" s="100" t="inlineStr">
        <is>
          <t>-</t>
        </is>
      </c>
      <c r="G11" s="100" t="inlineStr">
        <is>
          <t>-</t>
        </is>
      </c>
      <c r="H11" s="100" t="inlineStr">
        <is>
          <t>-</t>
        </is>
      </c>
      <c r="I11" s="101">
        <f>SUM(E11:H11)</f>
        <v/>
      </c>
      <c r="J11" s="100" t="inlineStr">
        <is>
          <t>-</t>
        </is>
      </c>
      <c r="K11" s="99" t="inlineStr">
        <is>
          <t>-</t>
        </is>
      </c>
      <c r="L11" s="98" t="inlineStr">
        <is>
          <t>-</t>
        </is>
      </c>
      <c r="M11" s="103" t="inlineStr">
        <is>
          <t>-</t>
        </is>
      </c>
      <c r="N11" s="104">
        <f>D11+I11-(IF(ISNUMBER(J11),J11,0))-(IF(ISNUMBER(M11),M11,0))</f>
        <v/>
      </c>
      <c r="O11" s="100" t="n">
        <v>1</v>
      </c>
      <c r="P11" s="107" t="inlineStr">
        <is>
          <t>MATCHED</t>
        </is>
      </c>
    </row>
    <row r="12" ht="22" customHeight="1">
      <c r="A12" s="96" t="inlineStr">
        <is>
          <t>🍯  3. TORANI FLAVOR SYRUPS &amp; PURÉES</t>
        </is>
      </c>
      <c r="B12" s="97" t="n"/>
      <c r="C12" s="97" t="n"/>
      <c r="D12" s="97" t="n"/>
      <c r="E12" s="97" t="n"/>
      <c r="F12" s="97" t="n"/>
      <c r="G12" s="97" t="n"/>
      <c r="H12" s="97" t="n"/>
      <c r="I12" s="97" t="n"/>
      <c r="J12" s="97" t="n"/>
      <c r="K12" s="97" t="n"/>
      <c r="L12" s="97" t="n"/>
      <c r="M12" s="97" t="n"/>
      <c r="N12" s="97" t="n"/>
      <c r="O12" s="97" t="n"/>
      <c r="P12" s="97" t="n"/>
    </row>
    <row r="13" ht="20" customHeight="1">
      <c r="A13" s="98" t="inlineStr">
        <is>
          <t>TOR-001</t>
        </is>
      </c>
      <c r="B13" s="99" t="inlineStr">
        <is>
          <t>Torani Irish Cream Syrup 750ml</t>
        </is>
      </c>
      <c r="C13" s="98" t="inlineStr">
        <is>
          <t>bottle</t>
        </is>
      </c>
      <c r="D13" s="100" t="n">
        <v>0</v>
      </c>
      <c r="E13" s="100" t="inlineStr">
        <is>
          <t>-</t>
        </is>
      </c>
      <c r="F13" s="100" t="n">
        <v>1</v>
      </c>
      <c r="G13" s="100" t="inlineStr">
        <is>
          <t>-</t>
        </is>
      </c>
      <c r="H13" s="100" t="inlineStr">
        <is>
          <t>-</t>
        </is>
      </c>
      <c r="I13" s="101">
        <f>SUM(E13:H13)</f>
        <v/>
      </c>
      <c r="J13" s="100" t="inlineStr">
        <is>
          <t>-</t>
        </is>
      </c>
      <c r="K13" s="99" t="inlineStr">
        <is>
          <t>-</t>
        </is>
      </c>
      <c r="L13" s="98" t="inlineStr">
        <is>
          <t>-</t>
        </is>
      </c>
      <c r="M13" s="103" t="inlineStr">
        <is>
          <t>-</t>
        </is>
      </c>
      <c r="N13" s="104">
        <f>D13+I13-(IF(ISNUMBER(J13),J13,0))-(IF(ISNUMBER(M13),M13,0))</f>
        <v/>
      </c>
      <c r="O13" s="100" t="n">
        <v>1</v>
      </c>
      <c r="P13" s="107" t="inlineStr">
        <is>
          <t>MATCHED</t>
        </is>
      </c>
    </row>
    <row r="14" ht="20" customHeight="1">
      <c r="A14" s="98" t="inlineStr">
        <is>
          <t>TOR-002</t>
        </is>
      </c>
      <c r="B14" s="99" t="inlineStr">
        <is>
          <t>Torani Salted Caramel Syrup 750ml</t>
        </is>
      </c>
      <c r="C14" s="98" t="inlineStr">
        <is>
          <t>bottle</t>
        </is>
      </c>
      <c r="D14" s="100" t="n">
        <v>0</v>
      </c>
      <c r="E14" s="100" t="inlineStr">
        <is>
          <t>-</t>
        </is>
      </c>
      <c r="F14" s="100" t="n">
        <v>1</v>
      </c>
      <c r="G14" s="100" t="inlineStr">
        <is>
          <t>-</t>
        </is>
      </c>
      <c r="H14" s="100" t="inlineStr">
        <is>
          <t>-</t>
        </is>
      </c>
      <c r="I14" s="101">
        <f>SUM(E14:H14)</f>
        <v/>
      </c>
      <c r="J14" s="100" t="inlineStr">
        <is>
          <t>-</t>
        </is>
      </c>
      <c r="K14" s="99" t="inlineStr">
        <is>
          <t>-</t>
        </is>
      </c>
      <c r="L14" s="98" t="inlineStr">
        <is>
          <t>-</t>
        </is>
      </c>
      <c r="M14" s="103" t="inlineStr">
        <is>
          <t>-</t>
        </is>
      </c>
      <c r="N14" s="104">
        <f>D14+I14-(IF(ISNUMBER(J14),J14,0))-(IF(ISNUMBER(M14),M14,0))</f>
        <v/>
      </c>
      <c r="O14" s="100" t="n">
        <v>1</v>
      </c>
      <c r="P14" s="107" t="inlineStr">
        <is>
          <t>MATCHED</t>
        </is>
      </c>
    </row>
    <row r="15" ht="20" customHeight="1">
      <c r="A15" s="98" t="inlineStr">
        <is>
          <t>TOR-003</t>
        </is>
      </c>
      <c r="B15" s="99" t="inlineStr">
        <is>
          <t>Torani White Chocolate Syrup 750ml</t>
        </is>
      </c>
      <c r="C15" s="98" t="inlineStr">
        <is>
          <t>bottle</t>
        </is>
      </c>
      <c r="D15" s="100" t="n">
        <v>0</v>
      </c>
      <c r="E15" s="100" t="inlineStr">
        <is>
          <t>-</t>
        </is>
      </c>
      <c r="F15" s="100" t="inlineStr">
        <is>
          <t>-</t>
        </is>
      </c>
      <c r="G15" s="100" t="n">
        <v>1</v>
      </c>
      <c r="H15" s="100" t="inlineStr">
        <is>
          <t>-</t>
        </is>
      </c>
      <c r="I15" s="101">
        <f>SUM(E15:H15)</f>
        <v/>
      </c>
      <c r="J15" s="100" t="inlineStr">
        <is>
          <t>-</t>
        </is>
      </c>
      <c r="K15" s="99" t="inlineStr">
        <is>
          <t>-</t>
        </is>
      </c>
      <c r="L15" s="98" t="inlineStr">
        <is>
          <t>-</t>
        </is>
      </c>
      <c r="M15" s="103" t="inlineStr">
        <is>
          <t>-</t>
        </is>
      </c>
      <c r="N15" s="104">
        <f>D15+I15-(IF(ISNUMBER(J15),J15,0))-(IF(ISNUMBER(M15),M15,0))</f>
        <v/>
      </c>
      <c r="O15" s="100" t="inlineStr">
        <is>
          <t>500ml</t>
        </is>
      </c>
      <c r="P15" s="106" t="inlineStr">
        <is>
          <t>SHORTAGE</t>
        </is>
      </c>
    </row>
    <row r="16" ht="20" customHeight="1">
      <c r="A16" s="98" t="inlineStr">
        <is>
          <t>TOR-004</t>
        </is>
      </c>
      <c r="B16" s="99" t="inlineStr">
        <is>
          <t>Torani French Vanilla Syrup 750ml</t>
        </is>
      </c>
      <c r="C16" s="98" t="inlineStr">
        <is>
          <t>bottle</t>
        </is>
      </c>
      <c r="D16" s="100" t="n">
        <v>0</v>
      </c>
      <c r="E16" s="100" t="inlineStr">
        <is>
          <t>-</t>
        </is>
      </c>
      <c r="F16" s="100" t="n">
        <v>1</v>
      </c>
      <c r="G16" s="100" t="inlineStr">
        <is>
          <t>-</t>
        </is>
      </c>
      <c r="H16" s="100" t="inlineStr">
        <is>
          <t>-</t>
        </is>
      </c>
      <c r="I16" s="101">
        <f>SUM(E16:H16)</f>
        <v/>
      </c>
      <c r="J16" s="100" t="inlineStr">
        <is>
          <t>-</t>
        </is>
      </c>
      <c r="K16" s="99" t="inlineStr">
        <is>
          <t>-</t>
        </is>
      </c>
      <c r="L16" s="98" t="inlineStr">
        <is>
          <t>-</t>
        </is>
      </c>
      <c r="M16" s="103" t="inlineStr">
        <is>
          <t>-</t>
        </is>
      </c>
      <c r="N16" s="104">
        <f>D16+I16-(IF(ISNUMBER(J16),J16,0))-(IF(ISNUMBER(M16),M16,0))</f>
        <v/>
      </c>
      <c r="O16" s="100" t="inlineStr">
        <is>
          <t>851ml</t>
        </is>
      </c>
      <c r="P16" s="108" t="inlineStr">
        <is>
          <t>UNMATCHED (Scale Weight)</t>
        </is>
      </c>
    </row>
    <row r="17" ht="20" customHeight="1">
      <c r="A17" s="98" t="inlineStr">
        <is>
          <t>TOR-005</t>
        </is>
      </c>
      <c r="B17" s="99" t="inlineStr">
        <is>
          <t>Torani Macadamia Nut Syrup 750ml</t>
        </is>
      </c>
      <c r="C17" s="98" t="inlineStr">
        <is>
          <t>bottle</t>
        </is>
      </c>
      <c r="D17" s="100" t="n">
        <v>0</v>
      </c>
      <c r="E17" s="100" t="inlineStr">
        <is>
          <t>-</t>
        </is>
      </c>
      <c r="F17" s="100" t="n">
        <v>1</v>
      </c>
      <c r="G17" s="100" t="inlineStr">
        <is>
          <t>-</t>
        </is>
      </c>
      <c r="H17" s="100" t="inlineStr">
        <is>
          <t>-</t>
        </is>
      </c>
      <c r="I17" s="101">
        <f>SUM(E17:H17)</f>
        <v/>
      </c>
      <c r="J17" s="100" t="inlineStr">
        <is>
          <t>-</t>
        </is>
      </c>
      <c r="K17" s="99" t="inlineStr">
        <is>
          <t>-</t>
        </is>
      </c>
      <c r="L17" s="98" t="inlineStr">
        <is>
          <t>-</t>
        </is>
      </c>
      <c r="M17" s="103" t="inlineStr">
        <is>
          <t>-</t>
        </is>
      </c>
      <c r="N17" s="104">
        <f>D17+I17-(IF(ISNUMBER(J17),J17,0))-(IF(ISNUMBER(M17),M17,0))</f>
        <v/>
      </c>
      <c r="O17" s="100" t="n">
        <v>1</v>
      </c>
      <c r="P17" s="107" t="inlineStr">
        <is>
          <t>MATCHED</t>
        </is>
      </c>
    </row>
    <row r="18" ht="20" customHeight="1">
      <c r="A18" s="98" t="inlineStr">
        <is>
          <t>TOR-006</t>
        </is>
      </c>
      <c r="B18" s="99" t="inlineStr">
        <is>
          <t>Torani Hazelnut Syrup 750ml</t>
        </is>
      </c>
      <c r="C18" s="98" t="inlineStr">
        <is>
          <t>bottle</t>
        </is>
      </c>
      <c r="D18" s="100" t="n">
        <v>0</v>
      </c>
      <c r="E18" s="100" t="inlineStr">
        <is>
          <t>-</t>
        </is>
      </c>
      <c r="F18" s="100" t="n">
        <v>1</v>
      </c>
      <c r="G18" s="100" t="inlineStr">
        <is>
          <t>-</t>
        </is>
      </c>
      <c r="H18" s="100" t="inlineStr">
        <is>
          <t>-</t>
        </is>
      </c>
      <c r="I18" s="101">
        <f>SUM(E18:H18)</f>
        <v/>
      </c>
      <c r="J18" s="100" t="inlineStr">
        <is>
          <t>-</t>
        </is>
      </c>
      <c r="K18" s="99" t="inlineStr">
        <is>
          <t>-</t>
        </is>
      </c>
      <c r="L18" s="98" t="inlineStr">
        <is>
          <t>-</t>
        </is>
      </c>
      <c r="M18" s="103" t="inlineStr">
        <is>
          <t>-</t>
        </is>
      </c>
      <c r="N18" s="104">
        <f>D18+I18-(IF(ISNUMBER(J18),J18,0))-(IF(ISNUMBER(M18),M18,0))</f>
        <v/>
      </c>
      <c r="O18" s="100" t="n">
        <v>892</v>
      </c>
      <c r="P18" s="108" t="inlineStr">
        <is>
          <t>UNMATCHED (Scale Weight)</t>
        </is>
      </c>
    </row>
    <row r="19" ht="20" customHeight="1">
      <c r="A19" s="98" t="inlineStr">
        <is>
          <t>TOR-007</t>
        </is>
      </c>
      <c r="B19" s="99" t="inlineStr">
        <is>
          <t>Torani Butterscotch Syrup 750ml</t>
        </is>
      </c>
      <c r="C19" s="98" t="inlineStr">
        <is>
          <t>bottle</t>
        </is>
      </c>
      <c r="D19" s="100" t="n">
        <v>0</v>
      </c>
      <c r="E19" s="100" t="n">
        <v>1</v>
      </c>
      <c r="F19" s="100" t="inlineStr">
        <is>
          <t>-</t>
        </is>
      </c>
      <c r="G19" s="100" t="inlineStr">
        <is>
          <t>-</t>
        </is>
      </c>
      <c r="H19" s="100" t="inlineStr">
        <is>
          <t>-</t>
        </is>
      </c>
      <c r="I19" s="101">
        <f>SUM(E19:H19)</f>
        <v/>
      </c>
      <c r="J19" s="100" t="inlineStr">
        <is>
          <t>-</t>
        </is>
      </c>
      <c r="K19" s="99" t="inlineStr">
        <is>
          <t>-</t>
        </is>
      </c>
      <c r="L19" s="98" t="inlineStr">
        <is>
          <t>-</t>
        </is>
      </c>
      <c r="M19" s="103" t="inlineStr">
        <is>
          <t>-</t>
        </is>
      </c>
      <c r="N19" s="104">
        <f>D19+I19-(IF(ISNUMBER(J19),J19,0))-(IF(ISNUMBER(M19),M19,0))</f>
        <v/>
      </c>
      <c r="O19" s="100" t="n">
        <v>1</v>
      </c>
      <c r="P19" s="107" t="inlineStr">
        <is>
          <t>MATCHED</t>
        </is>
      </c>
    </row>
    <row r="20" ht="20" customHeight="1">
      <c r="A20" s="98" t="inlineStr">
        <is>
          <t>TOR-008</t>
        </is>
      </c>
      <c r="B20" s="99" t="inlineStr">
        <is>
          <t>Torani Pomegranate Syrup 750ml</t>
        </is>
      </c>
      <c r="C20" s="98" t="inlineStr">
        <is>
          <t>bottle</t>
        </is>
      </c>
      <c r="D20" s="100" t="n">
        <v>0</v>
      </c>
      <c r="E20" s="100" t="inlineStr">
        <is>
          <t>-</t>
        </is>
      </c>
      <c r="F20" s="100" t="n">
        <v>1</v>
      </c>
      <c r="G20" s="100" t="inlineStr">
        <is>
          <t>-</t>
        </is>
      </c>
      <c r="H20" s="100" t="inlineStr">
        <is>
          <t>-</t>
        </is>
      </c>
      <c r="I20" s="101">
        <f>SUM(E20:H20)</f>
        <v/>
      </c>
      <c r="J20" s="100" t="inlineStr">
        <is>
          <t>-</t>
        </is>
      </c>
      <c r="K20" s="99" t="inlineStr">
        <is>
          <t>-</t>
        </is>
      </c>
      <c r="L20" s="98" t="inlineStr">
        <is>
          <t>-</t>
        </is>
      </c>
      <c r="M20" s="103" t="inlineStr">
        <is>
          <t>-</t>
        </is>
      </c>
      <c r="N20" s="104">
        <f>D20+I20-(IF(ISNUMBER(J20),J20,0))-(IF(ISNUMBER(M20),M20,0))</f>
        <v/>
      </c>
      <c r="O20" s="100" t="inlineStr">
        <is>
          <t>902ml</t>
        </is>
      </c>
      <c r="P20" s="108" t="inlineStr">
        <is>
          <t>UNMATCHED (Scale Weight)</t>
        </is>
      </c>
    </row>
    <row r="21" ht="20" customHeight="1">
      <c r="A21" s="98" t="inlineStr">
        <is>
          <t>TOR-009</t>
        </is>
      </c>
      <c r="B21" s="99" t="inlineStr">
        <is>
          <t>Torani Lychee Syrup 750ml</t>
        </is>
      </c>
      <c r="C21" s="98" t="inlineStr">
        <is>
          <t>bottle</t>
        </is>
      </c>
      <c r="D21" s="100" t="n">
        <v>0</v>
      </c>
      <c r="E21" s="100" t="inlineStr">
        <is>
          <t>-</t>
        </is>
      </c>
      <c r="F21" s="100" t="n">
        <v>1</v>
      </c>
      <c r="G21" s="100" t="inlineStr">
        <is>
          <t>-</t>
        </is>
      </c>
      <c r="H21" s="100" t="inlineStr">
        <is>
          <t>-</t>
        </is>
      </c>
      <c r="I21" s="101">
        <f>SUM(E21:H21)</f>
        <v/>
      </c>
      <c r="J21" s="100" t="inlineStr">
        <is>
          <t>-</t>
        </is>
      </c>
      <c r="K21" s="99" t="inlineStr">
        <is>
          <t>-</t>
        </is>
      </c>
      <c r="L21" s="98" t="inlineStr">
        <is>
          <t>-</t>
        </is>
      </c>
      <c r="M21" s="103" t="inlineStr">
        <is>
          <t>-</t>
        </is>
      </c>
      <c r="N21" s="104">
        <f>D21+I21-(IF(ISNUMBER(J21),J21,0))-(IF(ISNUMBER(M21),M21,0))</f>
        <v/>
      </c>
      <c r="O21" s="100" t="inlineStr">
        <is>
          <t>955ml</t>
        </is>
      </c>
      <c r="P21" s="108" t="inlineStr">
        <is>
          <t>UNMATCHED (Scale Weight)</t>
        </is>
      </c>
    </row>
    <row r="22" ht="20" customHeight="1">
      <c r="A22" s="98" t="inlineStr">
        <is>
          <t>TOR-010</t>
        </is>
      </c>
      <c r="B22" s="99" t="inlineStr">
        <is>
          <t>Torani Caramel Sauce / Syrup (Gallon)</t>
        </is>
      </c>
      <c r="C22" s="98" t="inlineStr">
        <is>
          <t>gallon</t>
        </is>
      </c>
      <c r="D22" s="100" t="n">
        <v>0</v>
      </c>
      <c r="E22" s="100" t="inlineStr">
        <is>
          <t>-</t>
        </is>
      </c>
      <c r="F22" s="100" t="inlineStr">
        <is>
          <t>-</t>
        </is>
      </c>
      <c r="G22" s="100" t="n">
        <v>1</v>
      </c>
      <c r="H22" s="100" t="inlineStr">
        <is>
          <t>-</t>
        </is>
      </c>
      <c r="I22" s="101">
        <f>SUM(E22:H22)</f>
        <v/>
      </c>
      <c r="J22" s="100" t="inlineStr">
        <is>
          <t>-</t>
        </is>
      </c>
      <c r="K22" s="99" t="inlineStr">
        <is>
          <t>-</t>
        </is>
      </c>
      <c r="L22" s="98" t="inlineStr">
        <is>
          <t>-</t>
        </is>
      </c>
      <c r="M22" s="103" t="inlineStr">
        <is>
          <t>-</t>
        </is>
      </c>
      <c r="N22" s="104">
        <f>D22+I22-(IF(ISNUMBER(J22),J22,0))-(IF(ISNUMBER(M22),M22,0))</f>
        <v/>
      </c>
      <c r="O22" s="100" t="n">
        <v>1</v>
      </c>
      <c r="P22" s="107" t="inlineStr">
        <is>
          <t>MATCHED</t>
        </is>
      </c>
    </row>
    <row r="23" ht="20" customHeight="1">
      <c r="A23" s="98" t="inlineStr">
        <is>
          <t>TOR-011</t>
        </is>
      </c>
      <c r="B23" s="99" t="inlineStr">
        <is>
          <t>Torani Mango Purée Blend 1.89L</t>
        </is>
      </c>
      <c r="C23" s="98" t="inlineStr">
        <is>
          <t>gallon</t>
        </is>
      </c>
      <c r="D23" s="100" t="n">
        <v>0</v>
      </c>
      <c r="E23" s="100" t="inlineStr">
        <is>
          <t>-</t>
        </is>
      </c>
      <c r="F23" s="100" t="n">
        <v>1</v>
      </c>
      <c r="G23" s="100" t="inlineStr">
        <is>
          <t>-</t>
        </is>
      </c>
      <c r="H23" s="100" t="inlineStr">
        <is>
          <t>-</t>
        </is>
      </c>
      <c r="I23" s="101">
        <f>SUM(E23:H23)</f>
        <v/>
      </c>
      <c r="J23" s="100" t="inlineStr">
        <is>
          <t>-</t>
        </is>
      </c>
      <c r="K23" s="99" t="inlineStr">
        <is>
          <t>-</t>
        </is>
      </c>
      <c r="L23" s="98" t="inlineStr">
        <is>
          <t>-</t>
        </is>
      </c>
      <c r="M23" s="103" t="inlineStr">
        <is>
          <t>-</t>
        </is>
      </c>
      <c r="N23" s="104">
        <f>D23+I23-(IF(ISNUMBER(J23),J23,0))-(IF(ISNUMBER(M23),M23,0))</f>
        <v/>
      </c>
      <c r="O23" s="100" t="n">
        <v>1</v>
      </c>
      <c r="P23" s="107" t="inlineStr">
        <is>
          <t>MATCHED</t>
        </is>
      </c>
    </row>
    <row r="24" ht="20" customHeight="1">
      <c r="A24" s="98" t="inlineStr">
        <is>
          <t>TOR-012</t>
        </is>
      </c>
      <c r="B24" s="99" t="inlineStr">
        <is>
          <t>Torani Strawberry Purée Blend 1.89L</t>
        </is>
      </c>
      <c r="C24" s="98" t="inlineStr">
        <is>
          <t>gallon</t>
        </is>
      </c>
      <c r="D24" s="100" t="n">
        <v>0</v>
      </c>
      <c r="E24" s="100" t="inlineStr">
        <is>
          <t>-</t>
        </is>
      </c>
      <c r="F24" s="100" t="n">
        <v>1</v>
      </c>
      <c r="G24" s="100" t="inlineStr">
        <is>
          <t>-</t>
        </is>
      </c>
      <c r="H24" s="100" t="inlineStr">
        <is>
          <t>-</t>
        </is>
      </c>
      <c r="I24" s="101">
        <f>SUM(E24:H24)</f>
        <v/>
      </c>
      <c r="J24" s="100" t="inlineStr">
        <is>
          <t>-</t>
        </is>
      </c>
      <c r="K24" s="99" t="inlineStr">
        <is>
          <t>-</t>
        </is>
      </c>
      <c r="L24" s="98" t="inlineStr">
        <is>
          <t>-</t>
        </is>
      </c>
      <c r="M24" s="103" t="inlineStr">
        <is>
          <t>-</t>
        </is>
      </c>
      <c r="N24" s="104">
        <f>D24+I24-(IF(ISNUMBER(J24),J24,0))-(IF(ISNUMBER(M24),M24,0))</f>
        <v/>
      </c>
      <c r="O24" s="100" t="inlineStr">
        <is>
          <t>1.77ml</t>
        </is>
      </c>
      <c r="P24" s="106" t="inlineStr">
        <is>
          <t>SHORTAGE</t>
        </is>
      </c>
    </row>
    <row r="25" ht="22" customHeight="1">
      <c r="A25" s="96" t="inlineStr">
        <is>
          <t>✨  4. SHOTT NEW ZEALAND PREMIUM SYRUPS</t>
        </is>
      </c>
      <c r="B25" s="97" t="n"/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7" t="n"/>
      <c r="M25" s="97" t="n"/>
      <c r="N25" s="97" t="n"/>
      <c r="O25" s="97" t="n"/>
      <c r="P25" s="97" t="n"/>
    </row>
    <row r="26" ht="20" customHeight="1">
      <c r="A26" s="98" t="inlineStr">
        <is>
          <t>SHT-001</t>
        </is>
      </c>
      <c r="B26" s="99" t="inlineStr">
        <is>
          <t>SHOTT Pink Guava Syrup 1L</t>
        </is>
      </c>
      <c r="C26" s="98" t="inlineStr">
        <is>
          <t>bottle (1L)</t>
        </is>
      </c>
      <c r="D26" s="100" t="n">
        <v>1</v>
      </c>
      <c r="E26" s="100" t="inlineStr">
        <is>
          <t>-</t>
        </is>
      </c>
      <c r="F26" s="100" t="inlineStr">
        <is>
          <t>-</t>
        </is>
      </c>
      <c r="G26" s="100" t="inlineStr">
        <is>
          <t>-</t>
        </is>
      </c>
      <c r="H26" s="100" t="inlineStr">
        <is>
          <t>-</t>
        </is>
      </c>
      <c r="I26" s="101">
        <f>SUM(E26:H26)</f>
        <v/>
      </c>
      <c r="J26" s="100" t="inlineStr">
        <is>
          <t>-</t>
        </is>
      </c>
      <c r="K26" s="99" t="inlineStr">
        <is>
          <t>-</t>
        </is>
      </c>
      <c r="L26" s="98" t="inlineStr">
        <is>
          <t>-</t>
        </is>
      </c>
      <c r="M26" s="103" t="inlineStr">
        <is>
          <t>-</t>
        </is>
      </c>
      <c r="N26" s="104">
        <f>D26+I26-(IF(ISNUMBER(J26),J26,0))-(IF(ISNUMBER(M26),M26,0))</f>
        <v/>
      </c>
      <c r="O26" s="100" t="inlineStr">
        <is>
          <t>20.7g</t>
        </is>
      </c>
      <c r="P26" s="105" t="inlineStr">
        <is>
          <t>SURPLUS</t>
        </is>
      </c>
    </row>
    <row r="27" ht="20" customHeight="1">
      <c r="A27" s="98" t="inlineStr">
        <is>
          <t>SHT-002</t>
        </is>
      </c>
      <c r="B27" s="99" t="inlineStr">
        <is>
          <t>SHOTT Irish Cream Syrup 1L</t>
        </is>
      </c>
      <c r="C27" s="98" t="inlineStr">
        <is>
          <t>bottle (1L)</t>
        </is>
      </c>
      <c r="D27" s="100" t="n">
        <v>1</v>
      </c>
      <c r="E27" s="100" t="inlineStr">
        <is>
          <t>-</t>
        </is>
      </c>
      <c r="F27" s="100" t="n">
        <v>1</v>
      </c>
      <c r="G27" s="100" t="inlineStr">
        <is>
          <t>-</t>
        </is>
      </c>
      <c r="H27" s="100" t="inlineStr">
        <is>
          <t>-</t>
        </is>
      </c>
      <c r="I27" s="101">
        <f>SUM(E27:H27)</f>
        <v/>
      </c>
      <c r="J27" s="100" t="inlineStr">
        <is>
          <t>-</t>
        </is>
      </c>
      <c r="K27" s="99" t="inlineStr">
        <is>
          <t>-</t>
        </is>
      </c>
      <c r="L27" s="98" t="inlineStr">
        <is>
          <t>-</t>
        </is>
      </c>
      <c r="M27" s="103" t="inlineStr">
        <is>
          <t>-</t>
        </is>
      </c>
      <c r="N27" s="104">
        <f>D27+I27-(IF(ISNUMBER(J27),J27,0))-(IF(ISNUMBER(M27),M27,0))</f>
        <v/>
      </c>
      <c r="O27" s="100" t="n">
        <v>1</v>
      </c>
      <c r="P27" s="107" t="inlineStr">
        <is>
          <t>MATCHED</t>
        </is>
      </c>
    </row>
    <row r="28" ht="20" customHeight="1">
      <c r="A28" s="98" t="inlineStr">
        <is>
          <t>SHT-003</t>
        </is>
      </c>
      <c r="B28" s="99" t="inlineStr">
        <is>
          <t>SHOTT Mango Syrup 1L</t>
        </is>
      </c>
      <c r="C28" s="98" t="inlineStr">
        <is>
          <t>bottle (1L)</t>
        </is>
      </c>
      <c r="D28" s="100" t="n">
        <v>1</v>
      </c>
      <c r="E28" s="100" t="inlineStr">
        <is>
          <t>-</t>
        </is>
      </c>
      <c r="F28" s="100" t="inlineStr">
        <is>
          <t>-</t>
        </is>
      </c>
      <c r="G28" s="100" t="inlineStr">
        <is>
          <t>-</t>
        </is>
      </c>
      <c r="H28" s="100" t="inlineStr">
        <is>
          <t>-</t>
        </is>
      </c>
      <c r="I28" s="101">
        <f>SUM(E28:H28)</f>
        <v/>
      </c>
      <c r="J28" s="100" t="inlineStr">
        <is>
          <t>-</t>
        </is>
      </c>
      <c r="K28" s="99" t="inlineStr">
        <is>
          <t>-</t>
        </is>
      </c>
      <c r="L28" s="98" t="inlineStr">
        <is>
          <t>-</t>
        </is>
      </c>
      <c r="M28" s="103" t="inlineStr">
        <is>
          <t>-</t>
        </is>
      </c>
      <c r="N28" s="104">
        <f>D28+I28-(IF(ISNUMBER(J28),J28,0))-(IF(ISNUMBER(M28),M28,0))</f>
        <v/>
      </c>
      <c r="O28" s="100" t="inlineStr">
        <is>
          <t>95.2g</t>
        </is>
      </c>
      <c r="P28" s="106" t="inlineStr">
        <is>
          <t>SHORTAGE</t>
        </is>
      </c>
    </row>
    <row r="29" ht="20" customHeight="1">
      <c r="A29" s="98" t="inlineStr">
        <is>
          <t>SHT-004</t>
        </is>
      </c>
      <c r="B29" s="99" t="inlineStr">
        <is>
          <t>SHOTT Macadamia Syrup 1L</t>
        </is>
      </c>
      <c r="C29" s="98" t="inlineStr">
        <is>
          <t>bottle (1L)</t>
        </is>
      </c>
      <c r="D29" s="100" t="n">
        <v>1</v>
      </c>
      <c r="E29" s="100" t="inlineStr">
        <is>
          <t>-</t>
        </is>
      </c>
      <c r="F29" s="100" t="n">
        <v>1</v>
      </c>
      <c r="G29" s="100" t="inlineStr">
        <is>
          <t>-</t>
        </is>
      </c>
      <c r="H29" s="100" t="inlineStr">
        <is>
          <t>-</t>
        </is>
      </c>
      <c r="I29" s="101">
        <f>SUM(E29:H29)</f>
        <v/>
      </c>
      <c r="J29" s="100" t="inlineStr">
        <is>
          <t>-</t>
        </is>
      </c>
      <c r="K29" s="99" t="inlineStr">
        <is>
          <t>-</t>
        </is>
      </c>
      <c r="L29" s="98" t="inlineStr">
        <is>
          <t>-</t>
        </is>
      </c>
      <c r="M29" s="103" t="inlineStr">
        <is>
          <t>-</t>
        </is>
      </c>
      <c r="N29" s="104">
        <f>D29+I29-(IF(ISNUMBER(J29),J29,0))-(IF(ISNUMBER(M29),M29,0))</f>
        <v/>
      </c>
      <c r="O29" s="100" t="inlineStr">
        <is>
          <t>980g</t>
        </is>
      </c>
      <c r="P29" s="105" t="inlineStr">
        <is>
          <t>SURPLUS</t>
        </is>
      </c>
    </row>
    <row r="30" ht="20" customHeight="1">
      <c r="A30" s="98" t="inlineStr">
        <is>
          <t>SHT-005</t>
        </is>
      </c>
      <c r="B30" s="99" t="inlineStr">
        <is>
          <t>SHOTT Vanilla Syrup 1L</t>
        </is>
      </c>
      <c r="C30" s="98" t="inlineStr">
        <is>
          <t>bottle (1L)</t>
        </is>
      </c>
      <c r="D30" s="100" t="n">
        <v>1</v>
      </c>
      <c r="E30" s="100" t="inlineStr">
        <is>
          <t>-</t>
        </is>
      </c>
      <c r="F30" s="100" t="inlineStr">
        <is>
          <t>-</t>
        </is>
      </c>
      <c r="G30" s="100" t="inlineStr">
        <is>
          <t>-</t>
        </is>
      </c>
      <c r="H30" s="100" t="inlineStr">
        <is>
          <t>-</t>
        </is>
      </c>
      <c r="I30" s="101">
        <f>SUM(E30:H30)</f>
        <v/>
      </c>
      <c r="J30" s="100" t="inlineStr">
        <is>
          <t>-</t>
        </is>
      </c>
      <c r="K30" s="99" t="inlineStr">
        <is>
          <t>-</t>
        </is>
      </c>
      <c r="L30" s="98" t="inlineStr">
        <is>
          <t>-</t>
        </is>
      </c>
      <c r="M30" s="103" t="inlineStr">
        <is>
          <t>-</t>
        </is>
      </c>
      <c r="N30" s="104">
        <f>D30+I30-(IF(ISNUMBER(J30),J30,0))-(IF(ISNUMBER(M30),M30,0))</f>
        <v/>
      </c>
      <c r="O30" s="100" t="n">
        <v>1</v>
      </c>
      <c r="P30" s="107" t="inlineStr">
        <is>
          <t>MATCHED</t>
        </is>
      </c>
    </row>
    <row r="31" ht="20" customHeight="1">
      <c r="A31" s="98" t="inlineStr">
        <is>
          <t>SHT-006</t>
        </is>
      </c>
      <c r="B31" s="99" t="inlineStr">
        <is>
          <t>SHOTT Lychee Syrup 1L</t>
        </is>
      </c>
      <c r="C31" s="98" t="inlineStr">
        <is>
          <t>bottle (1L)</t>
        </is>
      </c>
      <c r="D31" s="100" t="n">
        <v>1</v>
      </c>
      <c r="E31" s="100" t="inlineStr">
        <is>
          <t>-</t>
        </is>
      </c>
      <c r="F31" s="100" t="n">
        <v>1</v>
      </c>
      <c r="G31" s="100" t="inlineStr">
        <is>
          <t>-</t>
        </is>
      </c>
      <c r="H31" s="100" t="inlineStr">
        <is>
          <t>-</t>
        </is>
      </c>
      <c r="I31" s="101">
        <f>SUM(E31:H31)</f>
        <v/>
      </c>
      <c r="J31" s="100" t="inlineStr">
        <is>
          <t>-</t>
        </is>
      </c>
      <c r="K31" s="99" t="inlineStr">
        <is>
          <t>-</t>
        </is>
      </c>
      <c r="L31" s="98" t="inlineStr">
        <is>
          <t>-</t>
        </is>
      </c>
      <c r="M31" s="103" t="inlineStr">
        <is>
          <t>-</t>
        </is>
      </c>
      <c r="N31" s="104">
        <f>D31+I31-(IF(ISNUMBER(J31),J31,0))-(IF(ISNUMBER(M31),M31,0))</f>
        <v/>
      </c>
      <c r="O31" s="100" t="inlineStr">
        <is>
          <t>747g</t>
        </is>
      </c>
      <c r="P31" s="106" t="inlineStr">
        <is>
          <t>SHORTAGE</t>
        </is>
      </c>
    </row>
    <row r="32" ht="20" customHeight="1">
      <c r="A32" s="98" t="inlineStr">
        <is>
          <t>SHT-007</t>
        </is>
      </c>
      <c r="B32" s="99" t="inlineStr">
        <is>
          <t>SHOTT Pomegranate Syrup 1L</t>
        </is>
      </c>
      <c r="C32" s="98" t="inlineStr">
        <is>
          <t>bottle (1L)</t>
        </is>
      </c>
      <c r="D32" s="100" t="n">
        <v>1</v>
      </c>
      <c r="E32" s="100" t="inlineStr">
        <is>
          <t>-</t>
        </is>
      </c>
      <c r="F32" s="100" t="n">
        <v>1</v>
      </c>
      <c r="G32" s="100" t="inlineStr">
        <is>
          <t>-</t>
        </is>
      </c>
      <c r="H32" s="100" t="inlineStr">
        <is>
          <t>-</t>
        </is>
      </c>
      <c r="I32" s="101">
        <f>SUM(E32:H32)</f>
        <v/>
      </c>
      <c r="J32" s="100" t="inlineStr">
        <is>
          <t>-</t>
        </is>
      </c>
      <c r="K32" s="99" t="inlineStr">
        <is>
          <t>-</t>
        </is>
      </c>
      <c r="L32" s="98" t="inlineStr">
        <is>
          <t>-</t>
        </is>
      </c>
      <c r="M32" s="103" t="inlineStr">
        <is>
          <t>-</t>
        </is>
      </c>
      <c r="N32" s="104">
        <f>D32+I32-(IF(ISNUMBER(J32),J32,0))-(IF(ISNUMBER(M32),M32,0))</f>
        <v/>
      </c>
      <c r="O32" s="100" t="n">
        <v>0</v>
      </c>
      <c r="P32" s="106" t="inlineStr">
        <is>
          <t>SHORTAGE</t>
        </is>
      </c>
    </row>
    <row r="33" ht="22" customHeight="1">
      <c r="A33" s="96" t="inlineStr">
        <is>
          <t>🧈  5. CONDIMENTS, SPREADS &amp; MIXES</t>
        </is>
      </c>
      <c r="B33" s="97" t="n"/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</row>
    <row r="34" ht="20" customHeight="1">
      <c r="A34" s="98" t="inlineStr">
        <is>
          <t>MIX-001</t>
        </is>
      </c>
      <c r="B34" s="99" t="inlineStr">
        <is>
          <t>Biscoff Sauce Mix (In-House Prep)</t>
        </is>
      </c>
      <c r="C34" s="98" t="inlineStr">
        <is>
          <t>grams</t>
        </is>
      </c>
      <c r="D34" s="100" t="n">
        <v>0</v>
      </c>
      <c r="E34" s="100" t="n">
        <v>250</v>
      </c>
      <c r="F34" s="100" t="inlineStr">
        <is>
          <t>-</t>
        </is>
      </c>
      <c r="G34" s="100" t="inlineStr">
        <is>
          <t>-</t>
        </is>
      </c>
      <c r="H34" s="100" t="inlineStr">
        <is>
          <t>-</t>
        </is>
      </c>
      <c r="I34" s="101">
        <f>SUM(E34:H34)</f>
        <v/>
      </c>
      <c r="J34" s="100" t="inlineStr">
        <is>
          <t>-</t>
        </is>
      </c>
      <c r="K34" s="99" t="inlineStr">
        <is>
          <t>-</t>
        </is>
      </c>
      <c r="L34" s="98" t="inlineStr">
        <is>
          <t>-</t>
        </is>
      </c>
      <c r="M34" s="103" t="inlineStr">
        <is>
          <t>-</t>
        </is>
      </c>
      <c r="N34" s="104">
        <f>D34+I34-(IF(ISNUMBER(J34),J34,0))-(IF(ISNUMBER(M34),M34,0))</f>
        <v/>
      </c>
      <c r="O34" s="100" t="n">
        <v>0</v>
      </c>
      <c r="P34" s="106" t="inlineStr">
        <is>
          <t>SHORTAGE</t>
        </is>
      </c>
    </row>
    <row r="35" ht="20" customHeight="1">
      <c r="A35" s="98" t="inlineStr">
        <is>
          <t>MIX-002</t>
        </is>
      </c>
      <c r="B35" s="99" t="inlineStr">
        <is>
          <t>Lotus Biscoff Spread Smooth 400g</t>
        </is>
      </c>
      <c r="C35" s="98" t="inlineStr">
        <is>
          <t>grams</t>
        </is>
      </c>
      <c r="D35" s="100" t="n">
        <v>0</v>
      </c>
      <c r="E35" s="100" t="n">
        <v>400</v>
      </c>
      <c r="F35" s="100" t="inlineStr">
        <is>
          <t>-</t>
        </is>
      </c>
      <c r="G35" s="100" t="inlineStr">
        <is>
          <t>-</t>
        </is>
      </c>
      <c r="H35" s="100" t="inlineStr">
        <is>
          <t>-</t>
        </is>
      </c>
      <c r="I35" s="101">
        <f>SUM(E35:H35)</f>
        <v/>
      </c>
      <c r="J35" s="100" t="inlineStr">
        <is>
          <t>-</t>
        </is>
      </c>
      <c r="K35" s="99" t="inlineStr">
        <is>
          <t>-</t>
        </is>
      </c>
      <c r="L35" s="98" t="inlineStr">
        <is>
          <t>-</t>
        </is>
      </c>
      <c r="M35" s="103" t="inlineStr">
        <is>
          <t>-</t>
        </is>
      </c>
      <c r="N35" s="104">
        <f>D35+I35-(IF(ISNUMBER(J35),J35,0))-(IF(ISNUMBER(M35),M35,0))</f>
        <v/>
      </c>
      <c r="O35" s="100" t="inlineStr">
        <is>
          <t>242.3g</t>
        </is>
      </c>
      <c r="P35" s="105" t="inlineStr">
        <is>
          <t>SURPLUS</t>
        </is>
      </c>
    </row>
    <row r="36" ht="20" customHeight="1">
      <c r="A36" s="98" t="inlineStr">
        <is>
          <t>MIX-003</t>
        </is>
      </c>
      <c r="B36" s="99" t="inlineStr">
        <is>
          <t>Lotus Biscoff Biscuits (Garnish)</t>
        </is>
      </c>
      <c r="C36" s="98" t="inlineStr">
        <is>
          <t>pcs</t>
        </is>
      </c>
      <c r="D36" s="100" t="n">
        <v>0</v>
      </c>
      <c r="E36" s="100" t="n">
        <v>32</v>
      </c>
      <c r="F36" s="100" t="inlineStr">
        <is>
          <t>-</t>
        </is>
      </c>
      <c r="G36" s="100" t="inlineStr">
        <is>
          <t>-</t>
        </is>
      </c>
      <c r="H36" s="100" t="inlineStr">
        <is>
          <t>-</t>
        </is>
      </c>
      <c r="I36" s="101">
        <f>SUM(E36:H36)</f>
        <v/>
      </c>
      <c r="J36" s="102" t="n">
        <v>2</v>
      </c>
      <c r="K36" s="99" t="inlineStr">
        <is>
          <t>Crushed biscuit garnish in transit</t>
        </is>
      </c>
      <c r="L36" s="98" t="inlineStr">
        <is>
          <t>2026-08-22</t>
        </is>
      </c>
      <c r="M36" s="103" t="inlineStr">
        <is>
          <t>-</t>
        </is>
      </c>
      <c r="N36" s="104">
        <f>D36+I36-(IF(ISNUMBER(J36),J36,0))-(IF(ISNUMBER(M36),M36,0))</f>
        <v/>
      </c>
      <c r="O36" s="100" t="n">
        <v>9</v>
      </c>
      <c r="P36" s="106" t="inlineStr">
        <is>
          <t>SHORTAGE</t>
        </is>
      </c>
    </row>
    <row r="37" ht="20" customHeight="1">
      <c r="A37" s="98" t="inlineStr">
        <is>
          <t>MIX-004</t>
        </is>
      </c>
      <c r="B37" s="99" t="inlineStr">
        <is>
          <t>Sugar Syrup (Hi-Fructose 500ml)</t>
        </is>
      </c>
      <c r="C37" s="98" t="inlineStr">
        <is>
          <t>bottles</t>
        </is>
      </c>
      <c r="D37" s="100" t="n">
        <v>1</v>
      </c>
      <c r="E37" s="100" t="n">
        <v>10</v>
      </c>
      <c r="F37" s="100" t="inlineStr">
        <is>
          <t>-</t>
        </is>
      </c>
      <c r="G37" s="100" t="inlineStr">
        <is>
          <t>-</t>
        </is>
      </c>
      <c r="H37" s="100" t="inlineStr">
        <is>
          <t>-</t>
        </is>
      </c>
      <c r="I37" s="101">
        <f>SUM(E37:H37)</f>
        <v/>
      </c>
      <c r="J37" s="100" t="inlineStr">
        <is>
          <t>-</t>
        </is>
      </c>
      <c r="K37" s="99" t="inlineStr">
        <is>
          <t>-</t>
        </is>
      </c>
      <c r="L37" s="98" t="inlineStr">
        <is>
          <t>-</t>
        </is>
      </c>
      <c r="M37" s="103" t="inlineStr">
        <is>
          <t>-</t>
        </is>
      </c>
      <c r="N37" s="104">
        <f>D37+I37-(IF(ISNUMBER(J37),J37,0))-(IF(ISNUMBER(M37),M37,0))</f>
        <v/>
      </c>
      <c r="O37" s="100" t="inlineStr">
        <is>
          <t>324g</t>
        </is>
      </c>
      <c r="P37" s="106" t="inlineStr">
        <is>
          <t>SHORTAGE</t>
        </is>
      </c>
    </row>
    <row r="38" ht="20" customHeight="1">
      <c r="A38" s="98" t="inlineStr">
        <is>
          <t>MIX-005</t>
        </is>
      </c>
      <c r="B38" s="99" t="inlineStr">
        <is>
          <t>Caramel Mix (Bakersfield Caramel Fudge)</t>
        </is>
      </c>
      <c r="C38" s="98" t="inlineStr">
        <is>
          <t>grams</t>
        </is>
      </c>
      <c r="D38" s="100" t="n">
        <v>0</v>
      </c>
      <c r="E38" s="100" t="n">
        <v>1000</v>
      </c>
      <c r="F38" s="100" t="inlineStr">
        <is>
          <t>-</t>
        </is>
      </c>
      <c r="G38" s="100" t="inlineStr">
        <is>
          <t>-</t>
        </is>
      </c>
      <c r="H38" s="100" t="inlineStr">
        <is>
          <t>-</t>
        </is>
      </c>
      <c r="I38" s="101">
        <f>SUM(E38:H38)</f>
        <v/>
      </c>
      <c r="J38" s="100" t="inlineStr">
        <is>
          <t>-</t>
        </is>
      </c>
      <c r="K38" s="99" t="inlineStr">
        <is>
          <t>-</t>
        </is>
      </c>
      <c r="L38" s="98" t="inlineStr">
        <is>
          <t>-</t>
        </is>
      </c>
      <c r="M38" s="103" t="inlineStr">
        <is>
          <t>-</t>
        </is>
      </c>
      <c r="N38" s="104">
        <f>D38+I38-(IF(ISNUMBER(J38),J38,0))-(IF(ISNUMBER(M38),M38,0))</f>
        <v/>
      </c>
      <c r="O38" s="100" t="n">
        <v>577</v>
      </c>
      <c r="P38" s="106" t="inlineStr">
        <is>
          <t>SHORTAGE</t>
        </is>
      </c>
    </row>
    <row r="39" ht="20" customHeight="1">
      <c r="A39" s="98" t="inlineStr">
        <is>
          <t>MIX-006</t>
        </is>
      </c>
      <c r="B39" s="99" t="inlineStr">
        <is>
          <t>Doreen Condensed Milk 390g</t>
        </is>
      </c>
      <c r="C39" s="98" t="inlineStr">
        <is>
          <t>cans</t>
        </is>
      </c>
      <c r="D39" s="100" t="n">
        <v>24</v>
      </c>
      <c r="E39" s="100" t="inlineStr">
        <is>
          <t>-</t>
        </is>
      </c>
      <c r="F39" s="100" t="inlineStr">
        <is>
          <t>-</t>
        </is>
      </c>
      <c r="G39" s="100" t="inlineStr">
        <is>
          <t>-</t>
        </is>
      </c>
      <c r="H39" s="100" t="inlineStr">
        <is>
          <t>-</t>
        </is>
      </c>
      <c r="I39" s="101">
        <f>SUM(E39:H39)</f>
        <v/>
      </c>
      <c r="J39" s="100" t="inlineStr">
        <is>
          <t>-</t>
        </is>
      </c>
      <c r="K39" s="99" t="inlineStr">
        <is>
          <t>-</t>
        </is>
      </c>
      <c r="L39" s="98" t="inlineStr">
        <is>
          <t>-</t>
        </is>
      </c>
      <c r="M39" s="103" t="inlineStr">
        <is>
          <t>-</t>
        </is>
      </c>
      <c r="N39" s="104">
        <f>D39+I39-(IF(ISNUMBER(J39),J39,0))-(IF(ISNUMBER(M39),M39,0))</f>
        <v/>
      </c>
      <c r="O39" s="100" t="inlineStr">
        <is>
          <t>295.9g</t>
        </is>
      </c>
      <c r="P39" s="106" t="inlineStr">
        <is>
          <t>SHORTAGE</t>
        </is>
      </c>
    </row>
    <row r="40" ht="22" customHeight="1">
      <c r="A40" s="96" t="inlineStr">
        <is>
          <t>🍃  6. POWDERS &amp; BREWING TEA LEAVES</t>
        </is>
      </c>
      <c r="B40" s="97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</row>
    <row r="41" ht="20" customHeight="1">
      <c r="A41" s="98" t="inlineStr">
        <is>
          <t>POW-001</t>
        </is>
      </c>
      <c r="B41" s="99" t="inlineStr">
        <is>
          <t>Oreo Crushed Cookie Crumbs 454g</t>
        </is>
      </c>
      <c r="C41" s="98" t="inlineStr">
        <is>
          <t>grams</t>
        </is>
      </c>
      <c r="D41" s="100" t="n">
        <v>0</v>
      </c>
      <c r="E41" s="100" t="n">
        <v>454</v>
      </c>
      <c r="F41" s="100" t="inlineStr">
        <is>
          <t>-</t>
        </is>
      </c>
      <c r="G41" s="100" t="inlineStr">
        <is>
          <t>-</t>
        </is>
      </c>
      <c r="H41" s="100" t="inlineStr">
        <is>
          <t>-</t>
        </is>
      </c>
      <c r="I41" s="101">
        <f>SUM(E41:H41)</f>
        <v/>
      </c>
      <c r="J41" s="100" t="inlineStr">
        <is>
          <t>-</t>
        </is>
      </c>
      <c r="K41" s="99" t="inlineStr">
        <is>
          <t>-</t>
        </is>
      </c>
      <c r="L41" s="98" t="inlineStr">
        <is>
          <t>-</t>
        </is>
      </c>
      <c r="M41" s="103" t="inlineStr">
        <is>
          <t>-</t>
        </is>
      </c>
      <c r="N41" s="104">
        <f>D41+I41-(IF(ISNUMBER(J41),J41,0))-(IF(ISNUMBER(M41),M41,0))</f>
        <v/>
      </c>
      <c r="O41" s="100" t="n">
        <v>250.2</v>
      </c>
      <c r="P41" s="106" t="inlineStr">
        <is>
          <t>SHORTAGE</t>
        </is>
      </c>
    </row>
    <row r="42" ht="20" customHeight="1">
      <c r="A42" s="98" t="inlineStr">
        <is>
          <t>POW-002</t>
        </is>
      </c>
      <c r="B42" s="99" t="inlineStr">
        <is>
          <t>Easy Cookies &amp; Cream Powder 1kg</t>
        </is>
      </c>
      <c r="C42" s="98" t="inlineStr">
        <is>
          <t>grams</t>
        </is>
      </c>
      <c r="D42" s="100" t="n">
        <v>0</v>
      </c>
      <c r="E42" s="100" t="n">
        <v>1000</v>
      </c>
      <c r="F42" s="100" t="inlineStr">
        <is>
          <t>-</t>
        </is>
      </c>
      <c r="G42" s="100" t="inlineStr">
        <is>
          <t>-</t>
        </is>
      </c>
      <c r="H42" s="100" t="inlineStr">
        <is>
          <t>-</t>
        </is>
      </c>
      <c r="I42" s="101">
        <f>SUM(E42:H42)</f>
        <v/>
      </c>
      <c r="J42" s="100" t="inlineStr">
        <is>
          <t>-</t>
        </is>
      </c>
      <c r="K42" s="99" t="inlineStr">
        <is>
          <t>-</t>
        </is>
      </c>
      <c r="L42" s="98" t="inlineStr">
        <is>
          <t>-</t>
        </is>
      </c>
      <c r="M42" s="103" t="inlineStr">
        <is>
          <t>-</t>
        </is>
      </c>
      <c r="N42" s="104">
        <f>D42+I42-(IF(ISNUMBER(J42),J42,0))-(IF(ISNUMBER(M42),M42,0))</f>
        <v/>
      </c>
      <c r="O42" s="100" t="n">
        <v>795</v>
      </c>
      <c r="P42" s="106" t="inlineStr">
        <is>
          <t>SHORTAGE</t>
        </is>
      </c>
    </row>
    <row r="43" ht="20" customHeight="1">
      <c r="A43" s="98" t="inlineStr">
        <is>
          <t>POW-003</t>
        </is>
      </c>
      <c r="B43" s="99" t="inlineStr">
        <is>
          <t>Matcha Powder (Pure / Culinary)</t>
        </is>
      </c>
      <c r="C43" s="98" t="inlineStr">
        <is>
          <t>grams</t>
        </is>
      </c>
      <c r="D43" s="100" t="n">
        <v>0</v>
      </c>
      <c r="E43" s="100" t="n">
        <v>301</v>
      </c>
      <c r="F43" s="100" t="inlineStr">
        <is>
          <t>-</t>
        </is>
      </c>
      <c r="G43" s="100" t="inlineStr">
        <is>
          <t>-</t>
        </is>
      </c>
      <c r="H43" s="100" t="inlineStr">
        <is>
          <t>-</t>
        </is>
      </c>
      <c r="I43" s="101">
        <f>SUM(E43:H43)</f>
        <v/>
      </c>
      <c r="J43" s="102" t="n">
        <v>15</v>
      </c>
      <c r="K43" s="99" t="inlineStr">
        <is>
          <t>Spillage during daily shaker canister refill</t>
        </is>
      </c>
      <c r="L43" s="98" t="inlineStr">
        <is>
          <t>2026-08-25</t>
        </is>
      </c>
      <c r="M43" s="103" t="inlineStr">
        <is>
          <t>-</t>
        </is>
      </c>
      <c r="N43" s="104">
        <f>D43+I43-(IF(ISNUMBER(J43),J43,0))-(IF(ISNUMBER(M43),M43,0))</f>
        <v/>
      </c>
      <c r="O43" s="100" t="n">
        <v>66.90000000000001</v>
      </c>
      <c r="P43" s="106" t="inlineStr">
        <is>
          <t>SHORTAGE</t>
        </is>
      </c>
    </row>
    <row r="44" ht="20" customHeight="1">
      <c r="A44" s="98" t="inlineStr">
        <is>
          <t>POW-004</t>
        </is>
      </c>
      <c r="B44" s="99" t="inlineStr">
        <is>
          <t>Black Tea Leaves (Possmei Assam)</t>
        </is>
      </c>
      <c r="C44" s="98" t="inlineStr">
        <is>
          <t>grams</t>
        </is>
      </c>
      <c r="D44" s="100" t="n">
        <v>0</v>
      </c>
      <c r="E44" s="100" t="n">
        <v>600</v>
      </c>
      <c r="F44" s="100" t="inlineStr">
        <is>
          <t>-</t>
        </is>
      </c>
      <c r="G44" s="100" t="inlineStr">
        <is>
          <t>-</t>
        </is>
      </c>
      <c r="H44" s="100" t="inlineStr">
        <is>
          <t>-</t>
        </is>
      </c>
      <c r="I44" s="101">
        <f>SUM(E44:H44)</f>
        <v/>
      </c>
      <c r="J44" s="100" t="inlineStr">
        <is>
          <t>-</t>
        </is>
      </c>
      <c r="K44" s="99" t="inlineStr">
        <is>
          <t>-</t>
        </is>
      </c>
      <c r="L44" s="98" t="inlineStr">
        <is>
          <t>-</t>
        </is>
      </c>
      <c r="M44" s="103" t="inlineStr">
        <is>
          <t>-</t>
        </is>
      </c>
      <c r="N44" s="104">
        <f>D44+I44-(IF(ISNUMBER(J44),J44,0))-(IF(ISNUMBER(M44),M44,0))</f>
        <v/>
      </c>
      <c r="O44" s="100" t="n">
        <v>598</v>
      </c>
      <c r="P44" s="106" t="inlineStr">
        <is>
          <t>SHORTAGE</t>
        </is>
      </c>
    </row>
    <row r="45" ht="20" customHeight="1">
      <c r="A45" s="98" t="inlineStr">
        <is>
          <t>POW-005</t>
        </is>
      </c>
      <c r="B45" s="99" t="inlineStr">
        <is>
          <t>Jasmine Green Tea Leaves (Possmei)</t>
        </is>
      </c>
      <c r="C45" s="98" t="inlineStr">
        <is>
          <t>grams</t>
        </is>
      </c>
      <c r="D45" s="100" t="n">
        <v>0</v>
      </c>
      <c r="E45" s="100" t="n">
        <v>1</v>
      </c>
      <c r="F45" s="100" t="n">
        <v>1</v>
      </c>
      <c r="G45" s="100" t="inlineStr">
        <is>
          <t>-</t>
        </is>
      </c>
      <c r="H45" s="100" t="inlineStr">
        <is>
          <t>-</t>
        </is>
      </c>
      <c r="I45" s="101">
        <f>SUM(E45:H45)</f>
        <v/>
      </c>
      <c r="J45" s="100" t="inlineStr">
        <is>
          <t>-</t>
        </is>
      </c>
      <c r="K45" s="99" t="inlineStr">
        <is>
          <t>-</t>
        </is>
      </c>
      <c r="L45" s="98" t="inlineStr">
        <is>
          <t>-</t>
        </is>
      </c>
      <c r="M45" s="103" t="inlineStr">
        <is>
          <t>-</t>
        </is>
      </c>
      <c r="N45" s="104">
        <f>D45+I45-(IF(ISNUMBER(J45),J45,0))-(IF(ISNUMBER(M45),M45,0))</f>
        <v/>
      </c>
      <c r="O45" s="100" t="n">
        <v>457</v>
      </c>
      <c r="P45" s="106" t="inlineStr">
        <is>
          <t>SHORTAGE</t>
        </is>
      </c>
    </row>
    <row r="46" ht="20" customHeight="1">
      <c r="A46" s="98" t="inlineStr">
        <is>
          <t>POW-006</t>
        </is>
      </c>
      <c r="B46" s="99" t="inlineStr">
        <is>
          <t>Easy Dark Choco Powder Base 1kg</t>
        </is>
      </c>
      <c r="C46" s="98" t="inlineStr">
        <is>
          <t>grams</t>
        </is>
      </c>
      <c r="D46" s="100" t="n">
        <v>1000</v>
      </c>
      <c r="E46" s="100" t="n">
        <v>1000</v>
      </c>
      <c r="F46" s="100" t="inlineStr">
        <is>
          <t>-</t>
        </is>
      </c>
      <c r="G46" s="100" t="inlineStr">
        <is>
          <t>-</t>
        </is>
      </c>
      <c r="H46" s="100" t="inlineStr">
        <is>
          <t>-</t>
        </is>
      </c>
      <c r="I46" s="101">
        <f>SUM(E46:H46)</f>
        <v/>
      </c>
      <c r="J46" s="100" t="inlineStr">
        <is>
          <t>-</t>
        </is>
      </c>
      <c r="K46" s="99" t="inlineStr">
        <is>
          <t>-</t>
        </is>
      </c>
      <c r="L46" s="98" t="inlineStr">
        <is>
          <t>-</t>
        </is>
      </c>
      <c r="M46" s="103" t="inlineStr">
        <is>
          <t>-</t>
        </is>
      </c>
      <c r="N46" s="104">
        <f>D46+I46-(IF(ISNUMBER(J46),J46,0))-(IF(ISNUMBER(M46),M46,0))</f>
        <v/>
      </c>
      <c r="O46" s="100" t="inlineStr">
        <is>
          <t>1pack</t>
        </is>
      </c>
      <c r="P46" s="106" t="inlineStr">
        <is>
          <t>SHORTAGE</t>
        </is>
      </c>
    </row>
    <row r="47" ht="20" customHeight="1">
      <c r="A47" s="98" t="inlineStr">
        <is>
          <t>POW-007</t>
        </is>
      </c>
      <c r="B47" s="99" t="inlineStr">
        <is>
          <t>Artisanal Salted Cream Cheese Powder</t>
        </is>
      </c>
      <c r="C47" s="98" t="inlineStr">
        <is>
          <t>grams</t>
        </is>
      </c>
      <c r="D47" s="100" t="n">
        <v>0</v>
      </c>
      <c r="E47" s="100" t="n">
        <v>1000</v>
      </c>
      <c r="F47" s="100" t="inlineStr">
        <is>
          <t>-</t>
        </is>
      </c>
      <c r="G47" s="100" t="inlineStr">
        <is>
          <t>-</t>
        </is>
      </c>
      <c r="H47" s="100" t="inlineStr">
        <is>
          <t>-</t>
        </is>
      </c>
      <c r="I47" s="101">
        <f>SUM(E47:H47)</f>
        <v/>
      </c>
      <c r="J47" s="100" t="inlineStr">
        <is>
          <t>-</t>
        </is>
      </c>
      <c r="K47" s="99" t="inlineStr">
        <is>
          <t>-</t>
        </is>
      </c>
      <c r="L47" s="98" t="inlineStr">
        <is>
          <t>-</t>
        </is>
      </c>
      <c r="M47" s="103" t="inlineStr">
        <is>
          <t>-</t>
        </is>
      </c>
      <c r="N47" s="104">
        <f>D47+I47-(IF(ISNUMBER(J47),J47,0))-(IF(ISNUMBER(M47),M47,0))</f>
        <v/>
      </c>
      <c r="O47" s="100" t="inlineStr">
        <is>
          <t>295.9g</t>
        </is>
      </c>
      <c r="P47" s="106" t="inlineStr">
        <is>
          <t>SHORTAGE</t>
        </is>
      </c>
    </row>
    <row r="48" ht="22" customHeight="1">
      <c r="A48" s="96" t="inlineStr">
        <is>
          <t>🍵  7. DILMAH SPECIALTY TEA PACKS</t>
        </is>
      </c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</row>
    <row r="49" ht="20" customHeight="1">
      <c r="A49" s="98" t="inlineStr">
        <is>
          <t>DLM-001</t>
        </is>
      </c>
      <c r="B49" s="99" t="inlineStr">
        <is>
          <t>Dilmah Pure Chamomile Flowers Tea</t>
        </is>
      </c>
      <c r="C49" s="98" t="inlineStr">
        <is>
          <t>sachets</t>
        </is>
      </c>
      <c r="D49" s="100" t="n">
        <v>0</v>
      </c>
      <c r="E49" s="100" t="inlineStr">
        <is>
          <t>-</t>
        </is>
      </c>
      <c r="F49" s="100" t="n">
        <v>100</v>
      </c>
      <c r="G49" s="100" t="inlineStr">
        <is>
          <t>-</t>
        </is>
      </c>
      <c r="H49" s="100" t="inlineStr">
        <is>
          <t>-</t>
        </is>
      </c>
      <c r="I49" s="101">
        <f>SUM(E49:H49)</f>
        <v/>
      </c>
      <c r="J49" s="100" t="inlineStr">
        <is>
          <t>-</t>
        </is>
      </c>
      <c r="K49" s="99" t="inlineStr">
        <is>
          <t>-</t>
        </is>
      </c>
      <c r="L49" s="98" t="inlineStr">
        <is>
          <t>-</t>
        </is>
      </c>
      <c r="M49" s="103" t="inlineStr">
        <is>
          <t>-</t>
        </is>
      </c>
      <c r="N49" s="104">
        <f>D49+I49-(IF(ISNUMBER(J49),J49,0))-(IF(ISNUMBER(M49),M49,0))</f>
        <v/>
      </c>
      <c r="O49" s="100" t="n">
        <v>100</v>
      </c>
      <c r="P49" s="107" t="inlineStr">
        <is>
          <t>MATCHED</t>
        </is>
      </c>
    </row>
    <row r="50" ht="20" customHeight="1">
      <c r="A50" s="98" t="inlineStr">
        <is>
          <t>DLM-002</t>
        </is>
      </c>
      <c r="B50" s="99" t="inlineStr">
        <is>
          <t>Dilmah Earl Grey Tea</t>
        </is>
      </c>
      <c r="C50" s="98" t="inlineStr">
        <is>
          <t>sachets</t>
        </is>
      </c>
      <c r="D50" s="100" t="n">
        <v>0</v>
      </c>
      <c r="E50" s="100" t="inlineStr">
        <is>
          <t>-</t>
        </is>
      </c>
      <c r="F50" s="100" t="n">
        <v>100</v>
      </c>
      <c r="G50" s="100" t="inlineStr">
        <is>
          <t>-</t>
        </is>
      </c>
      <c r="H50" s="100" t="inlineStr">
        <is>
          <t>-</t>
        </is>
      </c>
      <c r="I50" s="101">
        <f>SUM(E50:H50)</f>
        <v/>
      </c>
      <c r="J50" s="100" t="inlineStr">
        <is>
          <t>-</t>
        </is>
      </c>
      <c r="K50" s="99" t="inlineStr">
        <is>
          <t>-</t>
        </is>
      </c>
      <c r="L50" s="98" t="inlineStr">
        <is>
          <t>-</t>
        </is>
      </c>
      <c r="M50" s="103" t="inlineStr">
        <is>
          <t>-</t>
        </is>
      </c>
      <c r="N50" s="104">
        <f>D50+I50-(IF(ISNUMBER(J50),J50,0))-(IF(ISNUMBER(M50),M50,0))</f>
        <v/>
      </c>
      <c r="O50" s="100" t="n">
        <v>93</v>
      </c>
      <c r="P50" s="107" t="inlineStr">
        <is>
          <t>MATCHED</t>
        </is>
      </c>
    </row>
    <row r="51" ht="20" customHeight="1">
      <c r="A51" s="98" t="inlineStr">
        <is>
          <t>DLM-003</t>
        </is>
      </c>
      <c r="B51" s="99" t="inlineStr">
        <is>
          <t>Dilmah Pure Peppermint Leaves Tea</t>
        </is>
      </c>
      <c r="C51" s="98" t="inlineStr">
        <is>
          <t>sachets</t>
        </is>
      </c>
      <c r="D51" s="100" t="n">
        <v>0</v>
      </c>
      <c r="E51" s="100" t="inlineStr">
        <is>
          <t>-</t>
        </is>
      </c>
      <c r="F51" s="100" t="n">
        <v>100</v>
      </c>
      <c r="G51" s="100" t="inlineStr">
        <is>
          <t>-</t>
        </is>
      </c>
      <c r="H51" s="100" t="inlineStr">
        <is>
          <t>-</t>
        </is>
      </c>
      <c r="I51" s="101">
        <f>SUM(E51:H51)</f>
        <v/>
      </c>
      <c r="J51" s="100" t="inlineStr">
        <is>
          <t>-</t>
        </is>
      </c>
      <c r="K51" s="99" t="inlineStr">
        <is>
          <t>-</t>
        </is>
      </c>
      <c r="L51" s="98" t="inlineStr">
        <is>
          <t>-</t>
        </is>
      </c>
      <c r="M51" s="103" t="inlineStr">
        <is>
          <t>-</t>
        </is>
      </c>
      <c r="N51" s="104">
        <f>D51+I51-(IF(ISNUMBER(J51),J51,0))-(IF(ISNUMBER(M51),M51,0))</f>
        <v/>
      </c>
      <c r="O51" s="100" t="n">
        <v>98</v>
      </c>
      <c r="P51" s="107" t="inlineStr">
        <is>
          <t>MATCHED</t>
        </is>
      </c>
    </row>
    <row r="52" ht="20" customHeight="1">
      <c r="A52" s="98" t="inlineStr">
        <is>
          <t>DLM-004</t>
        </is>
      </c>
      <c r="B52" s="99" t="inlineStr">
        <is>
          <t>Dilmah Gourmet Pure Green Tea</t>
        </is>
      </c>
      <c r="C52" s="98" t="inlineStr">
        <is>
          <t>sachets</t>
        </is>
      </c>
      <c r="D52" s="100" t="n">
        <v>0</v>
      </c>
      <c r="E52" s="100" t="inlineStr">
        <is>
          <t>-</t>
        </is>
      </c>
      <c r="F52" s="100" t="n">
        <v>100</v>
      </c>
      <c r="G52" s="100" t="inlineStr">
        <is>
          <t>-</t>
        </is>
      </c>
      <c r="H52" s="100" t="inlineStr">
        <is>
          <t>-</t>
        </is>
      </c>
      <c r="I52" s="101">
        <f>SUM(E52:H52)</f>
        <v/>
      </c>
      <c r="J52" s="100" t="inlineStr">
        <is>
          <t>-</t>
        </is>
      </c>
      <c r="K52" s="99" t="inlineStr">
        <is>
          <t>-</t>
        </is>
      </c>
      <c r="L52" s="98" t="inlineStr">
        <is>
          <t>-</t>
        </is>
      </c>
      <c r="M52" s="103" t="inlineStr">
        <is>
          <t>-</t>
        </is>
      </c>
      <c r="N52" s="104">
        <f>D52+I52-(IF(ISNUMBER(J52),J52,0))-(IF(ISNUMBER(M52),M52,0))</f>
        <v/>
      </c>
      <c r="O52" s="100" t="n">
        <v>100</v>
      </c>
      <c r="P52" s="107" t="inlineStr">
        <is>
          <t>MATCHED</t>
        </is>
      </c>
    </row>
    <row r="53" ht="20" customHeight="1">
      <c r="A53" s="98" t="inlineStr">
        <is>
          <t>DLM-005</t>
        </is>
      </c>
      <c r="B53" s="99" t="inlineStr">
        <is>
          <t>Dilmah Traditional Oolong Tea</t>
        </is>
      </c>
      <c r="C53" s="98" t="inlineStr">
        <is>
          <t>sachets</t>
        </is>
      </c>
      <c r="D53" s="100" t="n">
        <v>0</v>
      </c>
      <c r="E53" s="100" t="inlineStr">
        <is>
          <t>-</t>
        </is>
      </c>
      <c r="F53" s="100" t="n">
        <v>100</v>
      </c>
      <c r="G53" s="100" t="inlineStr">
        <is>
          <t>-</t>
        </is>
      </c>
      <c r="H53" s="100" t="inlineStr">
        <is>
          <t>-</t>
        </is>
      </c>
      <c r="I53" s="101">
        <f>SUM(E53:H53)</f>
        <v/>
      </c>
      <c r="J53" s="100" t="inlineStr">
        <is>
          <t>-</t>
        </is>
      </c>
      <c r="K53" s="99" t="inlineStr">
        <is>
          <t>-</t>
        </is>
      </c>
      <c r="L53" s="98" t="inlineStr">
        <is>
          <t>-</t>
        </is>
      </c>
      <c r="M53" s="103" t="inlineStr">
        <is>
          <t>-</t>
        </is>
      </c>
      <c r="N53" s="104">
        <f>D53+I53-(IF(ISNUMBER(J53),J53,0))-(IF(ISNUMBER(M53),M53,0))</f>
        <v/>
      </c>
      <c r="O53" s="100" t="n">
        <v>100</v>
      </c>
      <c r="P53" s="107" t="inlineStr">
        <is>
          <t>MATCHED</t>
        </is>
      </c>
    </row>
    <row r="54" ht="20" customHeight="1">
      <c r="A54" s="98" t="inlineStr">
        <is>
          <t>DLM-006</t>
        </is>
      </c>
      <c r="B54" s="99" t="inlineStr">
        <is>
          <t>Dilmah Green Tea with Jasmine</t>
        </is>
      </c>
      <c r="C54" s="98" t="inlineStr">
        <is>
          <t>sachets</t>
        </is>
      </c>
      <c r="D54" s="100" t="n">
        <v>0</v>
      </c>
      <c r="E54" s="100" t="n">
        <v>100</v>
      </c>
      <c r="F54" s="100" t="n">
        <v>100</v>
      </c>
      <c r="G54" s="100" t="inlineStr">
        <is>
          <t>-</t>
        </is>
      </c>
      <c r="H54" s="100" t="inlineStr">
        <is>
          <t>-</t>
        </is>
      </c>
      <c r="I54" s="101">
        <f>SUM(E54:H54)</f>
        <v/>
      </c>
      <c r="J54" s="100" t="inlineStr">
        <is>
          <t>-</t>
        </is>
      </c>
      <c r="K54" s="99" t="inlineStr">
        <is>
          <t>-</t>
        </is>
      </c>
      <c r="L54" s="98" t="inlineStr">
        <is>
          <t>-</t>
        </is>
      </c>
      <c r="M54" s="103" t="inlineStr">
        <is>
          <t>-</t>
        </is>
      </c>
      <c r="N54" s="104">
        <f>D54+I54-(IF(ISNUMBER(J54),J54,0))-(IF(ISNUMBER(M54),M54,0))</f>
        <v/>
      </c>
      <c r="O54" s="100" t="n">
        <v>100</v>
      </c>
      <c r="P54" s="107" t="inlineStr">
        <is>
          <t>MATCHED</t>
        </is>
      </c>
    </row>
    <row r="55" ht="22" customHeight="1">
      <c r="A55" s="96" t="inlineStr">
        <is>
          <t>🥨  8. GRAB-AND-GO RETAIL SNACKS</t>
        </is>
      </c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</row>
    <row r="56" ht="20" customHeight="1">
      <c r="A56" s="98" t="inlineStr">
        <is>
          <t>SNK-001</t>
        </is>
      </c>
      <c r="B56" s="99" t="inlineStr">
        <is>
          <t>Pringles Cheddar Cheese 158g</t>
        </is>
      </c>
      <c r="C56" s="98" t="inlineStr">
        <is>
          <t>cans</t>
        </is>
      </c>
      <c r="D56" s="100" t="n">
        <v>0</v>
      </c>
      <c r="E56" s="100" t="inlineStr">
        <is>
          <t>-</t>
        </is>
      </c>
      <c r="F56" s="100" t="n">
        <v>3</v>
      </c>
      <c r="G56" s="100" t="inlineStr">
        <is>
          <t>-</t>
        </is>
      </c>
      <c r="H56" s="100" t="inlineStr">
        <is>
          <t>-</t>
        </is>
      </c>
      <c r="I56" s="101">
        <f>SUM(E56:H56)</f>
        <v/>
      </c>
      <c r="J56" s="100" t="inlineStr">
        <is>
          <t>-</t>
        </is>
      </c>
      <c r="K56" s="99" t="inlineStr">
        <is>
          <t>-</t>
        </is>
      </c>
      <c r="L56" s="98" t="inlineStr">
        <is>
          <t>-</t>
        </is>
      </c>
      <c r="M56" s="103" t="inlineStr">
        <is>
          <t>-</t>
        </is>
      </c>
      <c r="N56" s="104">
        <f>D56+I56-(IF(ISNUMBER(J56),J56,0))-(IF(ISNUMBER(M56),M56,0))</f>
        <v/>
      </c>
      <c r="O56" s="100" t="n">
        <v>3</v>
      </c>
      <c r="P56" s="107" t="inlineStr">
        <is>
          <t>MATCHED</t>
        </is>
      </c>
    </row>
    <row r="57" ht="20" customHeight="1">
      <c r="A57" s="98" t="inlineStr">
        <is>
          <t>SNK-002</t>
        </is>
      </c>
      <c r="B57" s="99" t="inlineStr">
        <is>
          <t>Pringles Original 158g</t>
        </is>
      </c>
      <c r="C57" s="98" t="inlineStr">
        <is>
          <t>cans</t>
        </is>
      </c>
      <c r="D57" s="100" t="n">
        <v>0</v>
      </c>
      <c r="E57" s="100" t="inlineStr">
        <is>
          <t>-</t>
        </is>
      </c>
      <c r="F57" s="100" t="n">
        <v>3</v>
      </c>
      <c r="G57" s="100" t="inlineStr">
        <is>
          <t>-</t>
        </is>
      </c>
      <c r="H57" s="100" t="inlineStr">
        <is>
          <t>-</t>
        </is>
      </c>
      <c r="I57" s="101">
        <f>SUM(E57:H57)</f>
        <v/>
      </c>
      <c r="J57" s="100" t="inlineStr">
        <is>
          <t>-</t>
        </is>
      </c>
      <c r="K57" s="99" t="inlineStr">
        <is>
          <t>-</t>
        </is>
      </c>
      <c r="L57" s="98" t="inlineStr">
        <is>
          <t>-</t>
        </is>
      </c>
      <c r="M57" s="103" t="inlineStr">
        <is>
          <t>-</t>
        </is>
      </c>
      <c r="N57" s="104">
        <f>D57+I57-(IF(ISNUMBER(J57),J57,0))-(IF(ISNUMBER(M57),M57,0))</f>
        <v/>
      </c>
      <c r="O57" s="100" t="n">
        <v>3</v>
      </c>
      <c r="P57" s="107" t="inlineStr">
        <is>
          <t>MATCHED</t>
        </is>
      </c>
    </row>
    <row r="58" ht="20" customHeight="1">
      <c r="A58" s="98" t="inlineStr">
        <is>
          <t>SNK-003</t>
        </is>
      </c>
      <c r="B58" s="99" t="inlineStr">
        <is>
          <t>Pringles Sour Cream &amp; Onion 158g</t>
        </is>
      </c>
      <c r="C58" s="98" t="inlineStr">
        <is>
          <t>cans</t>
        </is>
      </c>
      <c r="D58" s="100" t="n">
        <v>0</v>
      </c>
      <c r="E58" s="100" t="inlineStr">
        <is>
          <t>-</t>
        </is>
      </c>
      <c r="F58" s="100" t="n">
        <v>3</v>
      </c>
      <c r="G58" s="100" t="inlineStr">
        <is>
          <t>-</t>
        </is>
      </c>
      <c r="H58" s="100" t="inlineStr">
        <is>
          <t>-</t>
        </is>
      </c>
      <c r="I58" s="101">
        <f>SUM(E58:H58)</f>
        <v/>
      </c>
      <c r="J58" s="100" t="inlineStr">
        <is>
          <t>-</t>
        </is>
      </c>
      <c r="K58" s="99" t="inlineStr">
        <is>
          <t>-</t>
        </is>
      </c>
      <c r="L58" s="98" t="inlineStr">
        <is>
          <t>-</t>
        </is>
      </c>
      <c r="M58" s="103" t="inlineStr">
        <is>
          <t>-</t>
        </is>
      </c>
      <c r="N58" s="104">
        <f>D58+I58-(IF(ISNUMBER(J58),J58,0))-(IF(ISNUMBER(M58),M58,0))</f>
        <v/>
      </c>
      <c r="O58" s="100" t="n">
        <v>0</v>
      </c>
      <c r="P58" s="107" t="inlineStr">
        <is>
          <t>MATCHED</t>
        </is>
      </c>
    </row>
    <row r="59" ht="20" customHeight="1">
      <c r="A59" s="98" t="inlineStr">
        <is>
          <t>SNK-004</t>
        </is>
      </c>
      <c r="B59" s="99" t="inlineStr">
        <is>
          <t>Cheetos Cheddar Jalapeño 226.8g</t>
        </is>
      </c>
      <c r="C59" s="98" t="inlineStr">
        <is>
          <t>packs</t>
        </is>
      </c>
      <c r="D59" s="100" t="n">
        <v>0</v>
      </c>
      <c r="E59" s="100" t="inlineStr">
        <is>
          <t>-</t>
        </is>
      </c>
      <c r="F59" s="100" t="n">
        <v>3</v>
      </c>
      <c r="G59" s="100" t="inlineStr">
        <is>
          <t>-</t>
        </is>
      </c>
      <c r="H59" s="100" t="inlineStr">
        <is>
          <t>-</t>
        </is>
      </c>
      <c r="I59" s="101">
        <f>SUM(E59:H59)</f>
        <v/>
      </c>
      <c r="J59" s="100" t="inlineStr">
        <is>
          <t>-</t>
        </is>
      </c>
      <c r="K59" s="99" t="inlineStr">
        <is>
          <t>-</t>
        </is>
      </c>
      <c r="L59" s="98" t="inlineStr">
        <is>
          <t>-</t>
        </is>
      </c>
      <c r="M59" s="103" t="inlineStr">
        <is>
          <t>-</t>
        </is>
      </c>
      <c r="N59" s="104">
        <f>D59+I59-(IF(ISNUMBER(J59),J59,0))-(IF(ISNUMBER(M59),M59,0))</f>
        <v/>
      </c>
      <c r="O59" s="100" t="n">
        <v>3</v>
      </c>
      <c r="P59" s="107" t="inlineStr">
        <is>
          <t>MATCHED</t>
        </is>
      </c>
    </row>
    <row r="60" ht="20" customHeight="1">
      <c r="A60" s="98" t="inlineStr">
        <is>
          <t>SNK-005</t>
        </is>
      </c>
      <c r="B60" s="99" t="inlineStr">
        <is>
          <t>Butter Lover Popcorn Bags</t>
        </is>
      </c>
      <c r="C60" s="98" t="inlineStr">
        <is>
          <t>bags</t>
        </is>
      </c>
      <c r="D60" s="100" t="n">
        <v>0</v>
      </c>
      <c r="E60" s="100" t="inlineStr">
        <is>
          <t>-</t>
        </is>
      </c>
      <c r="F60" s="100" t="n">
        <v>32</v>
      </c>
      <c r="G60" s="100" t="inlineStr">
        <is>
          <t>-</t>
        </is>
      </c>
      <c r="H60" s="100" t="inlineStr">
        <is>
          <t>-</t>
        </is>
      </c>
      <c r="I60" s="101">
        <f>SUM(E60:H60)</f>
        <v/>
      </c>
      <c r="J60" s="100" t="inlineStr">
        <is>
          <t>-</t>
        </is>
      </c>
      <c r="K60" s="99" t="inlineStr">
        <is>
          <t>-</t>
        </is>
      </c>
      <c r="L60" s="98" t="inlineStr">
        <is>
          <t>-</t>
        </is>
      </c>
      <c r="M60" s="103" t="inlineStr">
        <is>
          <t>-</t>
        </is>
      </c>
      <c r="N60" s="104">
        <f>D60+I60-(IF(ISNUMBER(J60),J60,0))-(IF(ISNUMBER(M60),M60,0))</f>
        <v/>
      </c>
      <c r="O60" s="100" t="n">
        <v>32</v>
      </c>
      <c r="P60" s="107" t="inlineStr">
        <is>
          <t>MATCHED</t>
        </is>
      </c>
    </row>
    <row r="61" ht="22" customHeight="1">
      <c r="A61" s="96" t="inlineStr">
        <is>
          <t>🥤  9. RETAIL DRINKS, WATER &amp; BEERS</t>
        </is>
      </c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</row>
    <row r="62" ht="20" customHeight="1">
      <c r="A62" s="98" t="inlineStr">
        <is>
          <t>BEV-001</t>
        </is>
      </c>
      <c r="B62" s="99" t="inlineStr">
        <is>
          <t>Coca-Cola Zero Sugar 320ml Can</t>
        </is>
      </c>
      <c r="C62" s="98" t="inlineStr">
        <is>
          <t>cans</t>
        </is>
      </c>
      <c r="D62" s="100" t="n">
        <v>0</v>
      </c>
      <c r="E62" s="100" t="inlineStr">
        <is>
          <t>-</t>
        </is>
      </c>
      <c r="F62" s="100" t="n">
        <v>24</v>
      </c>
      <c r="G62" s="100" t="inlineStr">
        <is>
          <t>-</t>
        </is>
      </c>
      <c r="H62" s="100" t="inlineStr">
        <is>
          <t>-</t>
        </is>
      </c>
      <c r="I62" s="101">
        <f>SUM(E62:H62)</f>
        <v/>
      </c>
      <c r="J62" s="102" t="n">
        <v>1</v>
      </c>
      <c r="K62" s="99" t="inlineStr">
        <is>
          <t>Dented can / tab puncture during stock handling</t>
        </is>
      </c>
      <c r="L62" s="98" t="inlineStr">
        <is>
          <t>2026-08-27</t>
        </is>
      </c>
      <c r="M62" s="103" t="inlineStr">
        <is>
          <t>-</t>
        </is>
      </c>
      <c r="N62" s="104">
        <f>D62+I62-(IF(ISNUMBER(J62),J62,0))-(IF(ISNUMBER(M62),M62,0))</f>
        <v/>
      </c>
      <c r="O62" s="100" t="n">
        <v>20</v>
      </c>
      <c r="P62" s="105" t="inlineStr">
        <is>
          <t>SURPLUS</t>
        </is>
      </c>
    </row>
    <row r="63" ht="20" customHeight="1">
      <c r="A63" s="98" t="inlineStr">
        <is>
          <t>BEV-002</t>
        </is>
      </c>
      <c r="B63" s="99" t="inlineStr">
        <is>
          <t>Coca-Cola Regular 320ml Can</t>
        </is>
      </c>
      <c r="C63" s="98" t="inlineStr">
        <is>
          <t>cans</t>
        </is>
      </c>
      <c r="D63" s="100" t="n">
        <v>0</v>
      </c>
      <c r="E63" s="100" t="inlineStr">
        <is>
          <t>-</t>
        </is>
      </c>
      <c r="F63" s="100" t="n">
        <v>24</v>
      </c>
      <c r="G63" s="100" t="inlineStr">
        <is>
          <t>-</t>
        </is>
      </c>
      <c r="H63" s="100" t="inlineStr">
        <is>
          <t>-</t>
        </is>
      </c>
      <c r="I63" s="101">
        <f>SUM(E63:H63)</f>
        <v/>
      </c>
      <c r="J63" s="100" t="inlineStr">
        <is>
          <t>-</t>
        </is>
      </c>
      <c r="K63" s="99" t="inlineStr">
        <is>
          <t>-</t>
        </is>
      </c>
      <c r="L63" s="98" t="inlineStr">
        <is>
          <t>-</t>
        </is>
      </c>
      <c r="M63" s="103" t="inlineStr">
        <is>
          <t>-</t>
        </is>
      </c>
      <c r="N63" s="104">
        <f>D63+I63-(IF(ISNUMBER(J63),J63,0))-(IF(ISNUMBER(M63),M63,0))</f>
        <v/>
      </c>
      <c r="O63" s="100" t="n">
        <v>24</v>
      </c>
      <c r="P63" s="107" t="inlineStr">
        <is>
          <t>MATCHED</t>
        </is>
      </c>
    </row>
    <row r="64" ht="20" customHeight="1">
      <c r="A64" s="98" t="inlineStr">
        <is>
          <t>BEV-003</t>
        </is>
      </c>
      <c r="B64" s="99" t="inlineStr">
        <is>
          <t>Sprite Soda 320ml Can</t>
        </is>
      </c>
      <c r="C64" s="98" t="inlineStr">
        <is>
          <t>cans</t>
        </is>
      </c>
      <c r="D64" s="100" t="n">
        <v>0</v>
      </c>
      <c r="E64" s="100" t="inlineStr">
        <is>
          <t>-</t>
        </is>
      </c>
      <c r="F64" s="100" t="n">
        <v>24</v>
      </c>
      <c r="G64" s="100" t="inlineStr">
        <is>
          <t>-</t>
        </is>
      </c>
      <c r="H64" s="100" t="inlineStr">
        <is>
          <t>-</t>
        </is>
      </c>
      <c r="I64" s="101">
        <f>SUM(E64:H64)</f>
        <v/>
      </c>
      <c r="J64" s="100" t="inlineStr">
        <is>
          <t>-</t>
        </is>
      </c>
      <c r="K64" s="99" t="inlineStr">
        <is>
          <t>-</t>
        </is>
      </c>
      <c r="L64" s="98" t="inlineStr">
        <is>
          <t>-</t>
        </is>
      </c>
      <c r="M64" s="103" t="inlineStr">
        <is>
          <t>-</t>
        </is>
      </c>
      <c r="N64" s="104">
        <f>D64+I64-(IF(ISNUMBER(J64),J64,0))-(IF(ISNUMBER(M64),M64,0))</f>
        <v/>
      </c>
      <c r="O64" s="100" t="n">
        <v>21</v>
      </c>
      <c r="P64" s="107" t="inlineStr">
        <is>
          <t>MATCHED</t>
        </is>
      </c>
    </row>
    <row r="65" ht="20" customHeight="1">
      <c r="A65" s="98" t="inlineStr">
        <is>
          <t>BEV-004</t>
        </is>
      </c>
      <c r="B65" s="99" t="inlineStr">
        <is>
          <t>Sprite 1.5L Bottle (Bar Mixer)</t>
        </is>
      </c>
      <c r="C65" s="98" t="inlineStr">
        <is>
          <t>bottles</t>
        </is>
      </c>
      <c r="D65" s="100" t="n">
        <v>4</v>
      </c>
      <c r="E65" s="100" t="inlineStr">
        <is>
          <t>-</t>
        </is>
      </c>
      <c r="F65" s="100" t="n">
        <v>6</v>
      </c>
      <c r="G65" s="100" t="inlineStr">
        <is>
          <t>-</t>
        </is>
      </c>
      <c r="H65" s="100" t="inlineStr">
        <is>
          <t>-</t>
        </is>
      </c>
      <c r="I65" s="101">
        <f>SUM(E65:H65)</f>
        <v/>
      </c>
      <c r="J65" s="100" t="inlineStr">
        <is>
          <t>-</t>
        </is>
      </c>
      <c r="K65" s="99" t="inlineStr">
        <is>
          <t>-</t>
        </is>
      </c>
      <c r="L65" s="98" t="inlineStr">
        <is>
          <t>-</t>
        </is>
      </c>
      <c r="M65" s="103" t="inlineStr">
        <is>
          <t>-</t>
        </is>
      </c>
      <c r="N65" s="104">
        <f>D65+I65-(IF(ISNUMBER(J65),J65,0))-(IF(ISNUMBER(M65),M65,0))</f>
        <v/>
      </c>
      <c r="O65" s="100" t="inlineStr">
        <is>
          <t>1.348g</t>
        </is>
      </c>
      <c r="P65" s="106" t="inlineStr">
        <is>
          <t>SHORTAGE</t>
        </is>
      </c>
    </row>
    <row r="66" ht="20" customHeight="1">
      <c r="A66" s="98" t="inlineStr">
        <is>
          <t>BEV-005</t>
        </is>
      </c>
      <c r="B66" s="99" t="inlineStr">
        <is>
          <t>Nature Spring Mineral Water 500ml</t>
        </is>
      </c>
      <c r="C66" s="98" t="inlineStr">
        <is>
          <t>bottles</t>
        </is>
      </c>
      <c r="D66" s="100" t="n">
        <v>0</v>
      </c>
      <c r="E66" s="100" t="inlineStr">
        <is>
          <t>-</t>
        </is>
      </c>
      <c r="F66" s="100" t="n">
        <v>35</v>
      </c>
      <c r="G66" s="100" t="inlineStr">
        <is>
          <t>-</t>
        </is>
      </c>
      <c r="H66" s="100" t="inlineStr">
        <is>
          <t>-</t>
        </is>
      </c>
      <c r="I66" s="101">
        <f>SUM(E66:H66)</f>
        <v/>
      </c>
      <c r="J66" s="100" t="inlineStr">
        <is>
          <t>-</t>
        </is>
      </c>
      <c r="K66" s="99" t="inlineStr">
        <is>
          <t>-</t>
        </is>
      </c>
      <c r="L66" s="98" t="inlineStr">
        <is>
          <t>-</t>
        </is>
      </c>
      <c r="M66" s="103" t="inlineStr">
        <is>
          <t>-</t>
        </is>
      </c>
      <c r="N66" s="104">
        <f>D66+I66-(IF(ISNUMBER(J66),J66,0))-(IF(ISNUMBER(M66),M66,0))</f>
        <v/>
      </c>
      <c r="O66" s="100" t="n">
        <v>70</v>
      </c>
      <c r="P66" s="105" t="inlineStr">
        <is>
          <t>SURPLUS</t>
        </is>
      </c>
    </row>
    <row r="67" ht="20" customHeight="1">
      <c r="A67" s="98" t="inlineStr">
        <is>
          <t>BEV-006</t>
        </is>
      </c>
      <c r="B67" s="99" t="inlineStr">
        <is>
          <t>Nature Spring Mineral Water 1L</t>
        </is>
      </c>
      <c r="C67" s="98" t="inlineStr">
        <is>
          <t>bottles</t>
        </is>
      </c>
      <c r="D67" s="100" t="n">
        <v>0</v>
      </c>
      <c r="E67" s="100" t="n">
        <v>20</v>
      </c>
      <c r="F67" s="100" t="inlineStr">
        <is>
          <t>-</t>
        </is>
      </c>
      <c r="G67" s="100" t="inlineStr">
        <is>
          <t>-</t>
        </is>
      </c>
      <c r="H67" s="100" t="inlineStr">
        <is>
          <t>-</t>
        </is>
      </c>
      <c r="I67" s="101">
        <f>SUM(E67:H67)</f>
        <v/>
      </c>
      <c r="J67" s="100" t="inlineStr">
        <is>
          <t>-</t>
        </is>
      </c>
      <c r="K67" s="99" t="inlineStr">
        <is>
          <t>-</t>
        </is>
      </c>
      <c r="L67" s="98" t="inlineStr">
        <is>
          <t>-</t>
        </is>
      </c>
      <c r="M67" s="103" t="inlineStr">
        <is>
          <t>-</t>
        </is>
      </c>
      <c r="N67" s="104">
        <f>D67+I67-(IF(ISNUMBER(J67),J67,0))-(IF(ISNUMBER(M67),M67,0))</f>
        <v/>
      </c>
      <c r="O67" s="100" t="n">
        <v>15</v>
      </c>
      <c r="P67" s="107" t="inlineStr">
        <is>
          <t>MATCHED</t>
        </is>
      </c>
    </row>
    <row r="68" ht="20" customHeight="1">
      <c r="A68" s="98" t="inlineStr">
        <is>
          <t>BEV-007</t>
        </is>
      </c>
      <c r="B68" s="99" t="inlineStr">
        <is>
          <t>Red Horse Stallion Beer 330ml</t>
        </is>
      </c>
      <c r="C68" s="98" t="inlineStr">
        <is>
          <t>bottles</t>
        </is>
      </c>
      <c r="D68" s="100" t="n">
        <v>0</v>
      </c>
      <c r="E68" s="100" t="inlineStr">
        <is>
          <t>-</t>
        </is>
      </c>
      <c r="F68" s="100" t="n">
        <v>48</v>
      </c>
      <c r="G68" s="100" t="inlineStr">
        <is>
          <t>-</t>
        </is>
      </c>
      <c r="H68" s="100" t="inlineStr">
        <is>
          <t>-</t>
        </is>
      </c>
      <c r="I68" s="101">
        <f>SUM(E68:H68)</f>
        <v/>
      </c>
      <c r="J68" s="100" t="inlineStr">
        <is>
          <t>-</t>
        </is>
      </c>
      <c r="K68" s="99" t="inlineStr">
        <is>
          <t>-</t>
        </is>
      </c>
      <c r="L68" s="98" t="inlineStr">
        <is>
          <t>-</t>
        </is>
      </c>
      <c r="M68" s="103" t="inlineStr">
        <is>
          <t>-</t>
        </is>
      </c>
      <c r="N68" s="104">
        <f>D68+I68-(IF(ISNUMBER(J68),J68,0))-(IF(ISNUMBER(M68),M68,0))</f>
        <v/>
      </c>
      <c r="O68" s="100" t="n">
        <v>39</v>
      </c>
      <c r="P68" s="107" t="inlineStr">
        <is>
          <t>MATCHED</t>
        </is>
      </c>
    </row>
    <row r="69" ht="20" customHeight="1">
      <c r="A69" s="98" t="inlineStr">
        <is>
          <t>BEV-008</t>
        </is>
      </c>
      <c r="B69" s="99" t="inlineStr">
        <is>
          <t>San Miguel Pale Pilsen 320ml</t>
        </is>
      </c>
      <c r="C69" s="98" t="inlineStr">
        <is>
          <t>bottles</t>
        </is>
      </c>
      <c r="D69" s="100" t="n">
        <v>0</v>
      </c>
      <c r="E69" s="100" t="inlineStr">
        <is>
          <t>-</t>
        </is>
      </c>
      <c r="F69" s="100" t="n">
        <v>48</v>
      </c>
      <c r="G69" s="100" t="inlineStr">
        <is>
          <t>-</t>
        </is>
      </c>
      <c r="H69" s="100" t="inlineStr">
        <is>
          <t>-</t>
        </is>
      </c>
      <c r="I69" s="101">
        <f>SUM(E69:H69)</f>
        <v/>
      </c>
      <c r="J69" s="102" t="n">
        <v>1</v>
      </c>
      <c r="K69" s="99" t="inlineStr">
        <is>
          <t>Chiller bottle neck chip / discarded for safety</t>
        </is>
      </c>
      <c r="L69" s="98" t="inlineStr">
        <is>
          <t>2026-08-28</t>
        </is>
      </c>
      <c r="M69" s="103" t="inlineStr">
        <is>
          <t>-</t>
        </is>
      </c>
      <c r="N69" s="104">
        <f>D69+I69-(IF(ISNUMBER(J69),J69,0))-(IF(ISNUMBER(M69),M69,0))</f>
        <v/>
      </c>
      <c r="O69" s="100" t="n">
        <v>46</v>
      </c>
      <c r="P69" s="105" t="inlineStr">
        <is>
          <t>SURPLUS</t>
        </is>
      </c>
    </row>
    <row r="70" ht="20" customHeight="1">
      <c r="A70" s="98" t="inlineStr">
        <is>
          <t>BEV-009</t>
        </is>
      </c>
      <c r="B70" s="99" t="inlineStr">
        <is>
          <t>San Mig Light - Apple 330ml</t>
        </is>
      </c>
      <c r="C70" s="98" t="inlineStr">
        <is>
          <t>bottles</t>
        </is>
      </c>
      <c r="D70" s="100" t="n">
        <v>0</v>
      </c>
      <c r="E70" s="100" t="inlineStr">
        <is>
          <t>-</t>
        </is>
      </c>
      <c r="F70" s="100" t="n">
        <v>24</v>
      </c>
      <c r="G70" s="100" t="inlineStr">
        <is>
          <t>-</t>
        </is>
      </c>
      <c r="H70" s="100" t="inlineStr">
        <is>
          <t>-</t>
        </is>
      </c>
      <c r="I70" s="101">
        <f>SUM(E70:H70)</f>
        <v/>
      </c>
      <c r="J70" s="100" t="inlineStr">
        <is>
          <t>-</t>
        </is>
      </c>
      <c r="K70" s="99" t="inlineStr">
        <is>
          <t>-</t>
        </is>
      </c>
      <c r="L70" s="98" t="inlineStr">
        <is>
          <t>-</t>
        </is>
      </c>
      <c r="M70" s="103" t="inlineStr">
        <is>
          <t>-</t>
        </is>
      </c>
      <c r="N70" s="104">
        <f>D70+I70-(IF(ISNUMBER(J70),J70,0))-(IF(ISNUMBER(M70),M70,0))</f>
        <v/>
      </c>
      <c r="O70" s="100" t="n">
        <v>24</v>
      </c>
      <c r="P70" s="105" t="inlineStr">
        <is>
          <t>SURPLUS</t>
        </is>
      </c>
    </row>
    <row r="71" ht="20" customHeight="1">
      <c r="A71" s="98" t="inlineStr">
        <is>
          <t>BEV-010</t>
        </is>
      </c>
      <c r="B71" s="99" t="inlineStr">
        <is>
          <t>Evian Natural Spring Water 500ml</t>
        </is>
      </c>
      <c r="C71" s="98" t="inlineStr">
        <is>
          <t>bottles</t>
        </is>
      </c>
      <c r="D71" s="100" t="n">
        <v>0</v>
      </c>
      <c r="E71" s="100" t="inlineStr">
        <is>
          <t>-</t>
        </is>
      </c>
      <c r="F71" s="100" t="n">
        <v>6</v>
      </c>
      <c r="G71" s="100" t="inlineStr">
        <is>
          <t>-</t>
        </is>
      </c>
      <c r="H71" s="100" t="inlineStr">
        <is>
          <t>-</t>
        </is>
      </c>
      <c r="I71" s="101">
        <f>SUM(E71:H71)</f>
        <v/>
      </c>
      <c r="J71" s="100" t="inlineStr">
        <is>
          <t>-</t>
        </is>
      </c>
      <c r="K71" s="99" t="inlineStr">
        <is>
          <t>-</t>
        </is>
      </c>
      <c r="L71" s="98" t="inlineStr">
        <is>
          <t>-</t>
        </is>
      </c>
      <c r="M71" s="103" t="inlineStr">
        <is>
          <t>-</t>
        </is>
      </c>
      <c r="N71" s="104">
        <f>D71+I71-(IF(ISNUMBER(J71),J71,0))-(IF(ISNUMBER(M71),M71,0))</f>
        <v/>
      </c>
      <c r="O71" s="100" t="n">
        <v>6</v>
      </c>
      <c r="P71" s="107" t="inlineStr">
        <is>
          <t>MATCHED</t>
        </is>
      </c>
    </row>
    <row r="72" ht="20" customHeight="1">
      <c r="A72" s="98" t="inlineStr">
        <is>
          <t>BEV-011</t>
        </is>
      </c>
      <c r="B72" s="99" t="inlineStr">
        <is>
          <t>Perrier Sparkling Mineral Water 330ml</t>
        </is>
      </c>
      <c r="C72" s="98" t="inlineStr">
        <is>
          <t>bottles</t>
        </is>
      </c>
      <c r="D72" s="100" t="n">
        <v>0</v>
      </c>
      <c r="E72" s="100" t="inlineStr">
        <is>
          <t>-</t>
        </is>
      </c>
      <c r="F72" s="100" t="n">
        <v>4</v>
      </c>
      <c r="G72" s="100" t="inlineStr">
        <is>
          <t>-</t>
        </is>
      </c>
      <c r="H72" s="100" t="inlineStr">
        <is>
          <t>-</t>
        </is>
      </c>
      <c r="I72" s="101">
        <f>SUM(E72:H72)</f>
        <v/>
      </c>
      <c r="J72" s="100" t="inlineStr">
        <is>
          <t>-</t>
        </is>
      </c>
      <c r="K72" s="99" t="inlineStr">
        <is>
          <t>-</t>
        </is>
      </c>
      <c r="L72" s="98" t="inlineStr">
        <is>
          <t>-</t>
        </is>
      </c>
      <c r="M72" s="103" t="inlineStr">
        <is>
          <t>-</t>
        </is>
      </c>
      <c r="N72" s="104">
        <f>D72+I72-(IF(ISNUMBER(J72),J72,0))-(IF(ISNUMBER(M72),M72,0))</f>
        <v/>
      </c>
      <c r="O72" s="100" t="n">
        <v>4</v>
      </c>
      <c r="P72" s="107" t="inlineStr">
        <is>
          <t>MATCHED</t>
        </is>
      </c>
    </row>
    <row r="73" ht="24" customHeight="1">
      <c r="A73" s="109" t="inlineStr">
        <is>
          <t>🏆 TOTALS &amp; INFLOW SUMMARY:</t>
        </is>
      </c>
      <c r="D73" s="110">
        <f>SUM(D5:D72)</f>
        <v/>
      </c>
      <c r="E73" s="110">
        <f>SUM(E5:E72)</f>
        <v/>
      </c>
      <c r="F73" s="110">
        <f>SUM(F5:F72)</f>
        <v/>
      </c>
      <c r="G73" s="110">
        <f>SUM(G5:G72)</f>
        <v/>
      </c>
      <c r="H73" s="110">
        <f>SUM(H5:H72)</f>
        <v/>
      </c>
      <c r="I73" s="110">
        <f>SUM(I5:I72)</f>
        <v/>
      </c>
      <c r="J73" s="110">
        <f>SUM(J5:J72)</f>
        <v/>
      </c>
      <c r="K73" s="111" t="inlineStr">
        <is>
          <t>-</t>
        </is>
      </c>
      <c r="L73" s="111" t="inlineStr">
        <is>
          <t>-</t>
        </is>
      </c>
      <c r="M73" s="110">
        <f>SUM(M5:M72)</f>
        <v/>
      </c>
      <c r="N73" s="110">
        <f>SUM(N5:N72)</f>
        <v/>
      </c>
      <c r="O73" s="111" t="inlineStr">
        <is>
          <t>-</t>
        </is>
      </c>
      <c r="P73" s="111" t="inlineStr">
        <is>
          <t>-</t>
        </is>
      </c>
    </row>
  </sheetData>
  <mergeCells count="17">
    <mergeCell ref="E3:I3"/>
    <mergeCell ref="A5:P5"/>
    <mergeCell ref="M3"/>
    <mergeCell ref="A33:P33"/>
    <mergeCell ref="A1:P1"/>
    <mergeCell ref="A40:P40"/>
    <mergeCell ref="A9:P9"/>
    <mergeCell ref="A3:D3"/>
    <mergeCell ref="A61:P61"/>
    <mergeCell ref="A55:P55"/>
    <mergeCell ref="A12:P12"/>
    <mergeCell ref="A73:C73"/>
    <mergeCell ref="A48:P48"/>
    <mergeCell ref="J3:L3"/>
    <mergeCell ref="A25:P25"/>
    <mergeCell ref="N3:P3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32" customWidth="1" min="4" max="4"/>
    <col width="18" customWidth="1" min="5" max="5"/>
    <col width="12" customWidth="1" min="6" max="6"/>
    <col width="10" customWidth="1" min="7" max="7"/>
    <col width="22" customWidth="1" min="8" max="8"/>
    <col width="16" customWidth="1" min="9" max="9"/>
    <col width="36" customWidth="1" min="10" max="10"/>
  </cols>
  <sheetData>
    <row r="1" ht="28" customHeight="1">
      <c r="A1" s="87" t="inlineStr">
        <is>
          <t>📜  ESPRESSO YOURSELF — CHRONOLOGICAL STOCK IN-OUT &amp; PULL-OUT AUDIT LEDGER</t>
        </is>
      </c>
    </row>
    <row r="2" ht="18" customHeight="1">
      <c r="A2" s="88" t="inlineStr">
        <is>
          <t>Itemized Ledger of All Inward Deliveries, Waste Pull-Outs, and Inventory Transfers with Staff Sign-Off</t>
        </is>
      </c>
    </row>
    <row r="3">
      <c r="A3" s="94" t="inlineStr">
        <is>
          <t>Trx ID</t>
        </is>
      </c>
      <c r="B3" s="94" t="inlineStr">
        <is>
          <t>Date</t>
        </is>
      </c>
      <c r="C3" s="94" t="inlineStr">
        <is>
          <t>SKU / Code</t>
        </is>
      </c>
      <c r="D3" s="95" t="inlineStr">
        <is>
          <t>Item Description</t>
        </is>
      </c>
      <c r="E3" s="94" t="inlineStr">
        <is>
          <t>Movement Type</t>
        </is>
      </c>
      <c r="F3" s="112" t="inlineStr">
        <is>
          <t>Qty (+/-)</t>
        </is>
      </c>
      <c r="G3" s="94" t="inlineStr">
        <is>
          <t>UOM</t>
        </is>
      </c>
      <c r="H3" s="95" t="inlineStr">
        <is>
          <t>Staff / Handler</t>
        </is>
      </c>
      <c r="I3" s="94" t="inlineStr">
        <is>
          <t>Ref / Invoice #</t>
        </is>
      </c>
      <c r="J3" s="95" t="inlineStr">
        <is>
          <t>Remarks &amp; Transfer Purpose</t>
        </is>
      </c>
    </row>
    <row r="4" ht="19" customHeight="1">
      <c r="A4" s="98" t="inlineStr">
        <is>
          <t>TRX-0001</t>
        </is>
      </c>
      <c r="B4" s="98" t="inlineStr">
        <is>
          <t>2026-08-13</t>
        </is>
      </c>
      <c r="C4" s="98" t="inlineStr">
        <is>
          <t>ING-GEN</t>
        </is>
      </c>
      <c r="D4" s="99" t="inlineStr">
        <is>
          <t>Oreo Crumbs 454g</t>
        </is>
      </c>
      <c r="E4" s="113" t="inlineStr">
        <is>
          <t>RESTOCK / ADDED (+)</t>
        </is>
      </c>
      <c r="F4" s="114" t="n">
        <v>1</v>
      </c>
      <c r="G4" s="98" t="inlineStr">
        <is>
          <t>pack</t>
        </is>
      </c>
      <c r="H4" s="99" t="inlineStr">
        <is>
          <t>Supervisor Sarah M.</t>
        </is>
      </c>
      <c r="I4" s="98" t="inlineStr">
        <is>
          <t>DEL-AUG13-01</t>
        </is>
      </c>
      <c r="J4" s="99" t="inlineStr">
        <is>
          <t>Supplier Delivery Delivery</t>
        </is>
      </c>
    </row>
    <row r="5" ht="19" customHeight="1">
      <c r="A5" s="98" t="inlineStr">
        <is>
          <t>TRX-0002</t>
        </is>
      </c>
      <c r="B5" s="98" t="inlineStr">
        <is>
          <t>2026-08-13</t>
        </is>
      </c>
      <c r="C5" s="98" t="inlineStr">
        <is>
          <t>ING-GEN</t>
        </is>
      </c>
      <c r="D5" s="99" t="inlineStr">
        <is>
          <t>white Sauce Squeez</t>
        </is>
      </c>
      <c r="E5" s="113" t="inlineStr">
        <is>
          <t>RESTOCK / ADDED (+)</t>
        </is>
      </c>
      <c r="F5" s="114" t="n">
        <v>4</v>
      </c>
      <c r="G5" s="98" t="inlineStr">
        <is>
          <t>pcs</t>
        </is>
      </c>
      <c r="H5" s="99" t="inlineStr">
        <is>
          <t>Supervisor Sarah M.</t>
        </is>
      </c>
      <c r="I5" s="98" t="inlineStr">
        <is>
          <t>DEL-AUG13-01</t>
        </is>
      </c>
      <c r="J5" s="99" t="inlineStr">
        <is>
          <t>Supplier Delivery Delivery</t>
        </is>
      </c>
    </row>
    <row r="6" ht="19" customHeight="1">
      <c r="A6" s="98" t="inlineStr">
        <is>
          <t>TRX-0003</t>
        </is>
      </c>
      <c r="B6" s="98" t="inlineStr">
        <is>
          <t>2026-08-13</t>
        </is>
      </c>
      <c r="C6" s="98" t="inlineStr">
        <is>
          <t>ING-GEN</t>
        </is>
      </c>
      <c r="D6" s="99" t="inlineStr">
        <is>
          <t>easy matcha pure 100g</t>
        </is>
      </c>
      <c r="E6" s="113" t="inlineStr">
        <is>
          <t>RESTOCK / ADDED (+)</t>
        </is>
      </c>
      <c r="F6" s="114" t="n">
        <v>3</v>
      </c>
      <c r="G6" s="98" t="inlineStr">
        <is>
          <t>pack</t>
        </is>
      </c>
      <c r="H6" s="99" t="inlineStr">
        <is>
          <t>Supervisor Sarah M.</t>
        </is>
      </c>
      <c r="I6" s="98" t="inlineStr">
        <is>
          <t>DEL-AUG13-01</t>
        </is>
      </c>
      <c r="J6" s="99" t="inlineStr">
        <is>
          <t>Supplier Delivery Delivery</t>
        </is>
      </c>
    </row>
    <row r="7" ht="19" customHeight="1">
      <c r="A7" s="98" t="inlineStr">
        <is>
          <t>TRX-0004</t>
        </is>
      </c>
      <c r="B7" s="98" t="inlineStr">
        <is>
          <t>2026-08-13</t>
        </is>
      </c>
      <c r="C7" s="98" t="inlineStr">
        <is>
          <t>ING-GEN</t>
        </is>
      </c>
      <c r="D7" s="99" t="inlineStr">
        <is>
          <t>possmei Jasmine Tea 600g</t>
        </is>
      </c>
      <c r="E7" s="113" t="inlineStr">
        <is>
          <t>RESTOCK / ADDED (+)</t>
        </is>
      </c>
      <c r="F7" s="114" t="n">
        <v>1</v>
      </c>
      <c r="G7" s="98" t="inlineStr">
        <is>
          <t>pack</t>
        </is>
      </c>
      <c r="H7" s="99" t="inlineStr">
        <is>
          <t>Supervisor Sarah M.</t>
        </is>
      </c>
      <c r="I7" s="98" t="inlineStr">
        <is>
          <t>DEL-AUG13-01</t>
        </is>
      </c>
      <c r="J7" s="99" t="inlineStr">
        <is>
          <t>Supplier Delivery Delivery</t>
        </is>
      </c>
    </row>
    <row r="8" ht="19" customHeight="1">
      <c r="A8" s="98" t="inlineStr">
        <is>
          <t>TRX-0005</t>
        </is>
      </c>
      <c r="B8" s="98" t="inlineStr">
        <is>
          <t>2026-08-13</t>
        </is>
      </c>
      <c r="C8" s="98" t="inlineStr">
        <is>
          <t>ING-GEN</t>
        </is>
      </c>
      <c r="D8" s="99" t="inlineStr">
        <is>
          <t>possmei Black Tea 600g</t>
        </is>
      </c>
      <c r="E8" s="113" t="inlineStr">
        <is>
          <t>RESTOCK / ADDED (+)</t>
        </is>
      </c>
      <c r="F8" s="114" t="n">
        <v>1</v>
      </c>
      <c r="G8" s="98" t="inlineStr">
        <is>
          <t>pack</t>
        </is>
      </c>
      <c r="H8" s="99" t="inlineStr">
        <is>
          <t>Supervisor Sarah M.</t>
        </is>
      </c>
      <c r="I8" s="98" t="inlineStr">
        <is>
          <t>DEL-AUG13-01</t>
        </is>
      </c>
      <c r="J8" s="99" t="inlineStr">
        <is>
          <t>Supplier Delivery Delivery</t>
        </is>
      </c>
    </row>
    <row r="9" ht="19" customHeight="1">
      <c r="A9" s="98" t="inlineStr">
        <is>
          <t>TRX-0006</t>
        </is>
      </c>
      <c r="B9" s="98" t="inlineStr">
        <is>
          <t>2026-08-13</t>
        </is>
      </c>
      <c r="C9" s="98" t="inlineStr">
        <is>
          <t>ING-GEN</t>
        </is>
      </c>
      <c r="D9" s="99" t="inlineStr">
        <is>
          <t>Bakersfield Caramel Fudge 1kg</t>
        </is>
      </c>
      <c r="E9" s="113" t="inlineStr">
        <is>
          <t>RESTOCK / ADDED (+)</t>
        </is>
      </c>
      <c r="F9" s="114" t="n">
        <v>1</v>
      </c>
      <c r="G9" s="98" t="inlineStr">
        <is>
          <t>pack</t>
        </is>
      </c>
      <c r="H9" s="99" t="inlineStr">
        <is>
          <t>Supervisor Sarah M.</t>
        </is>
      </c>
      <c r="I9" s="98" t="inlineStr">
        <is>
          <t>DEL-AUG13-01</t>
        </is>
      </c>
      <c r="J9" s="99" t="inlineStr">
        <is>
          <t>Supplier Delivery Delivery</t>
        </is>
      </c>
    </row>
    <row r="10" ht="19" customHeight="1">
      <c r="A10" s="98" t="inlineStr">
        <is>
          <t>TRX-0007</t>
        </is>
      </c>
      <c r="B10" s="98" t="inlineStr">
        <is>
          <t>2026-08-13</t>
        </is>
      </c>
      <c r="C10" s="98" t="inlineStr">
        <is>
          <t>ING-GEN</t>
        </is>
      </c>
      <c r="D10" s="99" t="inlineStr">
        <is>
          <t>Easy Dark Chocolate Base 1kg</t>
        </is>
      </c>
      <c r="E10" s="113" t="inlineStr">
        <is>
          <t>RESTOCK / ADDED (+)</t>
        </is>
      </c>
      <c r="F10" s="114" t="n">
        <v>1</v>
      </c>
      <c r="G10" s="98" t="inlineStr">
        <is>
          <t>pack</t>
        </is>
      </c>
      <c r="H10" s="99" t="inlineStr">
        <is>
          <t>Supervisor Sarah M.</t>
        </is>
      </c>
      <c r="I10" s="98" t="inlineStr">
        <is>
          <t>DEL-AUG13-01</t>
        </is>
      </c>
      <c r="J10" s="99" t="inlineStr">
        <is>
          <t>Supplier Delivery Delivery</t>
        </is>
      </c>
    </row>
    <row r="11" ht="19" customHeight="1">
      <c r="A11" s="98" t="inlineStr">
        <is>
          <t>TRX-0008</t>
        </is>
      </c>
      <c r="B11" s="98" t="inlineStr">
        <is>
          <t>2026-08-13</t>
        </is>
      </c>
      <c r="C11" s="98" t="inlineStr">
        <is>
          <t>ING-GEN</t>
        </is>
      </c>
      <c r="D11" s="99" t="inlineStr">
        <is>
          <t>Easy Cookies &amp; Cream 1kg</t>
        </is>
      </c>
      <c r="E11" s="113" t="inlineStr">
        <is>
          <t>RESTOCK / ADDED (+)</t>
        </is>
      </c>
      <c r="F11" s="114" t="n">
        <v>1</v>
      </c>
      <c r="G11" s="98" t="inlineStr">
        <is>
          <t>pack</t>
        </is>
      </c>
      <c r="H11" s="99" t="inlineStr">
        <is>
          <t>Supervisor Sarah M.</t>
        </is>
      </c>
      <c r="I11" s="98" t="inlineStr">
        <is>
          <t>DEL-AUG13-01</t>
        </is>
      </c>
      <c r="J11" s="99" t="inlineStr">
        <is>
          <t>Supplier Delivery Delivery</t>
        </is>
      </c>
    </row>
    <row r="12" ht="19" customHeight="1">
      <c r="A12" s="98" t="inlineStr">
        <is>
          <t>TRX-0009</t>
        </is>
      </c>
      <c r="B12" s="98" t="inlineStr">
        <is>
          <t>2026-08-13</t>
        </is>
      </c>
      <c r="C12" s="98" t="inlineStr">
        <is>
          <t>MIX-002</t>
        </is>
      </c>
      <c r="D12" s="99" t="inlineStr">
        <is>
          <t>Lotus Biscoff Spread Smooth</t>
        </is>
      </c>
      <c r="E12" s="113" t="inlineStr">
        <is>
          <t>RESTOCK / ADDED (+)</t>
        </is>
      </c>
      <c r="F12" s="114" t="n">
        <v>1</v>
      </c>
      <c r="G12" s="98" t="inlineStr">
        <is>
          <t>pack</t>
        </is>
      </c>
      <c r="H12" s="99" t="inlineStr">
        <is>
          <t>Supervisor Sarah M.</t>
        </is>
      </c>
      <c r="I12" s="98" t="inlineStr">
        <is>
          <t>DEL-AUG13-01</t>
        </is>
      </c>
      <c r="J12" s="99" t="inlineStr">
        <is>
          <t>Supplier Delivery Delivery</t>
        </is>
      </c>
    </row>
    <row r="13" ht="19" customHeight="1">
      <c r="A13" s="98" t="inlineStr">
        <is>
          <t>TRX-0010</t>
        </is>
      </c>
      <c r="B13" s="98" t="inlineStr">
        <is>
          <t>2026-08-13</t>
        </is>
      </c>
      <c r="C13" s="98" t="inlineStr">
        <is>
          <t>ING-GEN</t>
        </is>
      </c>
      <c r="D13" s="99" t="inlineStr">
        <is>
          <t>Mixing Bowl</t>
        </is>
      </c>
      <c r="E13" s="113" t="inlineStr">
        <is>
          <t>RESTOCK / ADDED (+)</t>
        </is>
      </c>
      <c r="F13" s="114" t="n">
        <v>1</v>
      </c>
      <c r="G13" s="98" t="inlineStr">
        <is>
          <t>pack</t>
        </is>
      </c>
      <c r="H13" s="99" t="inlineStr">
        <is>
          <t>Supervisor Sarah M.</t>
        </is>
      </c>
      <c r="I13" s="98" t="inlineStr">
        <is>
          <t>DEL-AUG13-01</t>
        </is>
      </c>
      <c r="J13" s="99" t="inlineStr">
        <is>
          <t>Supplier Delivery Delivery</t>
        </is>
      </c>
    </row>
    <row r="14" ht="19" customHeight="1">
      <c r="A14" s="98" t="inlineStr">
        <is>
          <t>TRX-0011</t>
        </is>
      </c>
      <c r="B14" s="98" t="inlineStr">
        <is>
          <t>2026-08-13</t>
        </is>
      </c>
      <c r="C14" s="98" t="inlineStr">
        <is>
          <t>ING-GEN</t>
        </is>
      </c>
      <c r="D14" s="99" t="inlineStr">
        <is>
          <t>Lotus Biscoff 250gx10</t>
        </is>
      </c>
      <c r="E14" s="113" t="inlineStr">
        <is>
          <t>RESTOCK / ADDED (+)</t>
        </is>
      </c>
      <c r="F14" s="114" t="n">
        <v>1</v>
      </c>
      <c r="G14" s="98" t="inlineStr">
        <is>
          <t>pack</t>
        </is>
      </c>
      <c r="H14" s="99" t="inlineStr">
        <is>
          <t>Supervisor Sarah M.</t>
        </is>
      </c>
      <c r="I14" s="98" t="inlineStr">
        <is>
          <t>DEL-AUG13-01</t>
        </is>
      </c>
      <c r="J14" s="99" t="inlineStr">
        <is>
          <t>Supplier Delivery Delivery</t>
        </is>
      </c>
    </row>
    <row r="15" ht="19" customHeight="1">
      <c r="A15" s="98" t="inlineStr">
        <is>
          <t>TRX-0012</t>
        </is>
      </c>
      <c r="B15" s="98" t="inlineStr">
        <is>
          <t>2026-08-13</t>
        </is>
      </c>
      <c r="C15" s="98" t="inlineStr">
        <is>
          <t>POW-007</t>
        </is>
      </c>
      <c r="D15" s="99" t="inlineStr">
        <is>
          <t>Artisanal Salted Cream Cheese</t>
        </is>
      </c>
      <c r="E15" s="113" t="inlineStr">
        <is>
          <t>RESTOCK / ADDED (+)</t>
        </is>
      </c>
      <c r="F15" s="114" t="n">
        <v>2</v>
      </c>
      <c r="G15" s="98" t="inlineStr">
        <is>
          <t>pack</t>
        </is>
      </c>
      <c r="H15" s="99" t="inlineStr">
        <is>
          <t>Supervisor Sarah M.</t>
        </is>
      </c>
      <c r="I15" s="98" t="inlineStr">
        <is>
          <t>DEL-AUG13-01</t>
        </is>
      </c>
      <c r="J15" s="99" t="inlineStr">
        <is>
          <t>Supplier Delivery Delivery</t>
        </is>
      </c>
    </row>
    <row r="16" ht="19" customHeight="1">
      <c r="A16" s="98" t="inlineStr">
        <is>
          <t>TRX-0013</t>
        </is>
      </c>
      <c r="B16" s="98" t="inlineStr">
        <is>
          <t>2026-08-13</t>
        </is>
      </c>
      <c r="C16" s="98" t="inlineStr">
        <is>
          <t>ING-GEN</t>
        </is>
      </c>
      <c r="D16" s="99" t="inlineStr">
        <is>
          <t>Stackable FK Square small</t>
        </is>
      </c>
      <c r="E16" s="113" t="inlineStr">
        <is>
          <t>RESTOCK / ADDED (+)</t>
        </is>
      </c>
      <c r="F16" s="114" t="n">
        <v>1</v>
      </c>
      <c r="G16" s="98" t="inlineStr">
        <is>
          <t>pcs</t>
        </is>
      </c>
      <c r="H16" s="99" t="inlineStr">
        <is>
          <t>Supervisor Sarah M.</t>
        </is>
      </c>
      <c r="I16" s="98" t="inlineStr">
        <is>
          <t>DEL-AUG13-01</t>
        </is>
      </c>
      <c r="J16" s="99" t="inlineStr">
        <is>
          <t>Supplier Delivery Delivery</t>
        </is>
      </c>
    </row>
    <row r="17" ht="19" customHeight="1">
      <c r="A17" s="98" t="inlineStr">
        <is>
          <t>TRX-0014</t>
        </is>
      </c>
      <c r="B17" s="98" t="inlineStr">
        <is>
          <t>2026-08-13</t>
        </is>
      </c>
      <c r="C17" s="98" t="inlineStr">
        <is>
          <t>ING-GEN</t>
        </is>
      </c>
      <c r="D17" s="99" t="inlineStr">
        <is>
          <t>Hi-Fructose Corn Syrup 500ml</t>
        </is>
      </c>
      <c r="E17" s="113" t="inlineStr">
        <is>
          <t>RESTOCK / ADDED (+)</t>
        </is>
      </c>
      <c r="F17" s="114" t="n">
        <v>10</v>
      </c>
      <c r="G17" s="98" t="inlineStr">
        <is>
          <t>bottle</t>
        </is>
      </c>
      <c r="H17" s="99" t="inlineStr">
        <is>
          <t>Supervisor Sarah M.</t>
        </is>
      </c>
      <c r="I17" s="98" t="inlineStr">
        <is>
          <t>DEL-AUG13-01</t>
        </is>
      </c>
      <c r="J17" s="99" t="inlineStr">
        <is>
          <t>Supplier Delivery Delivery</t>
        </is>
      </c>
    </row>
    <row r="18" ht="19" customHeight="1">
      <c r="A18" s="98" t="inlineStr">
        <is>
          <t>TRX-0015</t>
        </is>
      </c>
      <c r="B18" s="98" t="inlineStr">
        <is>
          <t>2026-08-13</t>
        </is>
      </c>
      <c r="C18" s="98" t="inlineStr">
        <is>
          <t>ING-GEN</t>
        </is>
      </c>
      <c r="D18" s="99" t="inlineStr">
        <is>
          <t>Cocktail Shaker 1L</t>
        </is>
      </c>
      <c r="E18" s="113" t="inlineStr">
        <is>
          <t>RESTOCK / ADDED (+)</t>
        </is>
      </c>
      <c r="F18" s="114" t="n">
        <v>1</v>
      </c>
      <c r="G18" s="98" t="inlineStr">
        <is>
          <t>pc</t>
        </is>
      </c>
      <c r="H18" s="99" t="inlineStr">
        <is>
          <t>Supervisor Sarah M.</t>
        </is>
      </c>
      <c r="I18" s="98" t="inlineStr">
        <is>
          <t>DEL-AUG13-01</t>
        </is>
      </c>
      <c r="J18" s="99" t="inlineStr">
        <is>
          <t>Supplier Delivery Delivery</t>
        </is>
      </c>
    </row>
    <row r="19" ht="19" customHeight="1">
      <c r="A19" s="98" t="inlineStr">
        <is>
          <t>TRX-0016</t>
        </is>
      </c>
      <c r="B19" s="98" t="inlineStr">
        <is>
          <t>2026-08-13</t>
        </is>
      </c>
      <c r="C19" s="98" t="inlineStr">
        <is>
          <t>ING-GEN</t>
        </is>
      </c>
      <c r="D19" s="99" t="inlineStr">
        <is>
          <t>Cocktail Shaker 700ml</t>
        </is>
      </c>
      <c r="E19" s="113" t="inlineStr">
        <is>
          <t>RESTOCK / ADDED (+)</t>
        </is>
      </c>
      <c r="F19" s="114" t="n">
        <v>1</v>
      </c>
      <c r="G19" s="98" t="inlineStr">
        <is>
          <t>pc</t>
        </is>
      </c>
      <c r="H19" s="99" t="inlineStr">
        <is>
          <t>Supervisor Sarah M.</t>
        </is>
      </c>
      <c r="I19" s="98" t="inlineStr">
        <is>
          <t>DEL-AUG13-01</t>
        </is>
      </c>
      <c r="J19" s="99" t="inlineStr">
        <is>
          <t>Supplier Delivery Delivery</t>
        </is>
      </c>
    </row>
    <row r="20" ht="19" customHeight="1">
      <c r="A20" s="98" t="inlineStr">
        <is>
          <t>TRX-0017</t>
        </is>
      </c>
      <c r="B20" s="98" t="inlineStr">
        <is>
          <t>2026-08-13</t>
        </is>
      </c>
      <c r="C20" s="98" t="inlineStr">
        <is>
          <t>ING-GEN</t>
        </is>
      </c>
      <c r="D20" s="99" t="inlineStr">
        <is>
          <t>Fliptop Wide 1.8L</t>
        </is>
      </c>
      <c r="E20" s="113" t="inlineStr">
        <is>
          <t>RESTOCK / ADDED (+)</t>
        </is>
      </c>
      <c r="F20" s="114" t="n">
        <v>6</v>
      </c>
      <c r="G20" s="98" t="inlineStr">
        <is>
          <t>pcs</t>
        </is>
      </c>
      <c r="H20" s="99" t="inlineStr">
        <is>
          <t>Supervisor Sarah M.</t>
        </is>
      </c>
      <c r="I20" s="98" t="inlineStr">
        <is>
          <t>DEL-AUG13-01</t>
        </is>
      </c>
      <c r="J20" s="99" t="inlineStr">
        <is>
          <t>Supplier Delivery Delivery</t>
        </is>
      </c>
    </row>
    <row r="21" ht="19" customHeight="1">
      <c r="A21" s="98" t="inlineStr">
        <is>
          <t>TRX-0018</t>
        </is>
      </c>
      <c r="B21" s="98" t="inlineStr">
        <is>
          <t>2026-08-13</t>
        </is>
      </c>
      <c r="C21" s="98" t="inlineStr">
        <is>
          <t>ING-GEN</t>
        </is>
      </c>
      <c r="D21" s="99" t="inlineStr">
        <is>
          <t>Electric Hand Mixer</t>
        </is>
      </c>
      <c r="E21" s="113" t="inlineStr">
        <is>
          <t>RESTOCK / ADDED (+)</t>
        </is>
      </c>
      <c r="F21" s="114" t="n">
        <v>1</v>
      </c>
      <c r="G21" s="98" t="inlineStr">
        <is>
          <t>pc</t>
        </is>
      </c>
      <c r="H21" s="99" t="inlineStr">
        <is>
          <t>Supervisor Sarah M.</t>
        </is>
      </c>
      <c r="I21" s="98" t="inlineStr">
        <is>
          <t>DEL-AUG13-01</t>
        </is>
      </c>
      <c r="J21" s="99" t="inlineStr">
        <is>
          <t>Supplier Delivery Delivery</t>
        </is>
      </c>
    </row>
    <row r="22" ht="19" customHeight="1">
      <c r="A22" s="98" t="inlineStr">
        <is>
          <t>TRX-0019</t>
        </is>
      </c>
      <c r="B22" s="98" t="inlineStr">
        <is>
          <t>2026-08-13</t>
        </is>
      </c>
      <c r="C22" s="98" t="inlineStr">
        <is>
          <t>ING-GEN</t>
        </is>
      </c>
      <c r="D22" s="99" t="inlineStr">
        <is>
          <t>AWD DO3 Frother</t>
        </is>
      </c>
      <c r="E22" s="113" t="inlineStr">
        <is>
          <t>RESTOCK / ADDED (+)</t>
        </is>
      </c>
      <c r="F22" s="114" t="n">
        <v>1</v>
      </c>
      <c r="G22" s="98" t="inlineStr">
        <is>
          <t>pc</t>
        </is>
      </c>
      <c r="H22" s="99" t="inlineStr">
        <is>
          <t>Supervisor Sarah M.</t>
        </is>
      </c>
      <c r="I22" s="98" t="inlineStr">
        <is>
          <t>DEL-AUG13-01</t>
        </is>
      </c>
      <c r="J22" s="99" t="inlineStr">
        <is>
          <t>Supplier Delivery Delivery</t>
        </is>
      </c>
    </row>
    <row r="23" ht="19" customHeight="1">
      <c r="A23" s="98" t="inlineStr">
        <is>
          <t>TRX-0020</t>
        </is>
      </c>
      <c r="B23" s="98" t="inlineStr">
        <is>
          <t>2026-08-13</t>
        </is>
      </c>
      <c r="C23" s="98" t="inlineStr">
        <is>
          <t>ING-GEN</t>
        </is>
      </c>
      <c r="D23" s="99" t="inlineStr">
        <is>
          <t>Knife</t>
        </is>
      </c>
      <c r="E23" s="113" t="inlineStr">
        <is>
          <t>RESTOCK / ADDED (+)</t>
        </is>
      </c>
      <c r="F23" s="114" t="n">
        <v>1</v>
      </c>
      <c r="G23" s="98" t="inlineStr">
        <is>
          <t>pc</t>
        </is>
      </c>
      <c r="H23" s="99" t="inlineStr">
        <is>
          <t>Supervisor Sarah M.</t>
        </is>
      </c>
      <c r="I23" s="98" t="inlineStr">
        <is>
          <t>DEL-AUG13-01</t>
        </is>
      </c>
      <c r="J23" s="99" t="inlineStr">
        <is>
          <t>Supplier Delivery Delivery</t>
        </is>
      </c>
    </row>
    <row r="24" ht="19" customHeight="1">
      <c r="A24" s="98" t="inlineStr">
        <is>
          <t>TRX-0021</t>
        </is>
      </c>
      <c r="B24" s="98" t="inlineStr">
        <is>
          <t>2026-08-13</t>
        </is>
      </c>
      <c r="C24" s="98" t="inlineStr">
        <is>
          <t>ING-GEN</t>
        </is>
      </c>
      <c r="D24" s="99" t="inlineStr">
        <is>
          <t>Cutting Board</t>
        </is>
      </c>
      <c r="E24" s="113" t="inlineStr">
        <is>
          <t>RESTOCK / ADDED (+)</t>
        </is>
      </c>
      <c r="F24" s="114" t="n">
        <v>1</v>
      </c>
      <c r="G24" s="98" t="inlineStr">
        <is>
          <t>pc</t>
        </is>
      </c>
      <c r="H24" s="99" t="inlineStr">
        <is>
          <t>Supervisor Sarah M.</t>
        </is>
      </c>
      <c r="I24" s="98" t="inlineStr">
        <is>
          <t>DEL-AUG13-01</t>
        </is>
      </c>
      <c r="J24" s="99" t="inlineStr">
        <is>
          <t>Supplier Delivery Delivery</t>
        </is>
      </c>
    </row>
    <row r="25" ht="19" customHeight="1">
      <c r="A25" s="98" t="inlineStr">
        <is>
          <t>TRX-0022</t>
        </is>
      </c>
      <c r="B25" s="98" t="inlineStr">
        <is>
          <t>2026-08-13</t>
        </is>
      </c>
      <c r="C25" s="98" t="inlineStr">
        <is>
          <t>ING-GEN</t>
        </is>
      </c>
      <c r="D25" s="99" t="inlineStr">
        <is>
          <t>Arla Full Cream 1L</t>
        </is>
      </c>
      <c r="E25" s="113" t="inlineStr">
        <is>
          <t>RESTOCK / ADDED (+)</t>
        </is>
      </c>
      <c r="F25" s="114" t="n">
        <v>10</v>
      </c>
      <c r="G25" s="98" t="inlineStr">
        <is>
          <t>packs</t>
        </is>
      </c>
      <c r="H25" s="99" t="inlineStr">
        <is>
          <t>Supervisor Sarah M.</t>
        </is>
      </c>
      <c r="I25" s="98" t="inlineStr">
        <is>
          <t>DEL-AUG13-01</t>
        </is>
      </c>
      <c r="J25" s="99" t="inlineStr">
        <is>
          <t>Supplier Delivery Delivery</t>
        </is>
      </c>
    </row>
    <row r="26" ht="19" customHeight="1">
      <c r="A26" s="98" t="inlineStr">
        <is>
          <t>TRX-0023</t>
        </is>
      </c>
      <c r="B26" s="98" t="inlineStr">
        <is>
          <t>2026-08-13</t>
        </is>
      </c>
      <c r="C26" s="98" t="inlineStr">
        <is>
          <t>ING-GEN</t>
        </is>
      </c>
      <c r="D26" s="99" t="inlineStr">
        <is>
          <t>espresso glass</t>
        </is>
      </c>
      <c r="E26" s="113" t="inlineStr">
        <is>
          <t>RESTOCK / ADDED (+)</t>
        </is>
      </c>
      <c r="F26" s="114" t="n">
        <v>1</v>
      </c>
      <c r="G26" s="98" t="inlineStr">
        <is>
          <t>pc</t>
        </is>
      </c>
      <c r="H26" s="99" t="inlineStr">
        <is>
          <t>Supervisor Sarah M.</t>
        </is>
      </c>
      <c r="I26" s="98" t="inlineStr">
        <is>
          <t>DEL-AUG13-01</t>
        </is>
      </c>
      <c r="J26" s="99" t="inlineStr">
        <is>
          <t>Supplier Delivery Delivery</t>
        </is>
      </c>
    </row>
    <row r="27" ht="19" customHeight="1">
      <c r="A27" s="98" t="inlineStr">
        <is>
          <t>TRX-0024</t>
        </is>
      </c>
      <c r="B27" s="98" t="inlineStr">
        <is>
          <t>2026-08-13</t>
        </is>
      </c>
      <c r="C27" s="98" t="inlineStr">
        <is>
          <t>ING-GEN</t>
        </is>
      </c>
      <c r="D27" s="99" t="inlineStr">
        <is>
          <t>matcha bowl</t>
        </is>
      </c>
      <c r="E27" s="113" t="inlineStr">
        <is>
          <t>RESTOCK / ADDED (+)</t>
        </is>
      </c>
      <c r="F27" s="114" t="n">
        <v>1</v>
      </c>
      <c r="G27" s="98" t="inlineStr">
        <is>
          <t>pc</t>
        </is>
      </c>
      <c r="H27" s="99" t="inlineStr">
        <is>
          <t>Supervisor Sarah M.</t>
        </is>
      </c>
      <c r="I27" s="98" t="inlineStr">
        <is>
          <t>DEL-AUG13-01</t>
        </is>
      </c>
      <c r="J27" s="99" t="inlineStr">
        <is>
          <t>Supplier Delivery Delivery</t>
        </is>
      </c>
    </row>
    <row r="28" ht="19" customHeight="1">
      <c r="A28" s="98" t="inlineStr">
        <is>
          <t>TRX-0025</t>
        </is>
      </c>
      <c r="B28" s="98" t="inlineStr">
        <is>
          <t>2026-08-13</t>
        </is>
      </c>
      <c r="C28" s="98" t="inlineStr">
        <is>
          <t>ING-002</t>
        </is>
      </c>
      <c r="D28" s="99" t="inlineStr">
        <is>
          <t>Australia's Own</t>
        </is>
      </c>
      <c r="E28" s="113" t="inlineStr">
        <is>
          <t>RESTOCK / ADDED (+)</t>
        </is>
      </c>
      <c r="F28" s="114" t="n">
        <v>1</v>
      </c>
      <c r="G28" s="98" t="inlineStr">
        <is>
          <t>pack</t>
        </is>
      </c>
      <c r="H28" s="99" t="inlineStr">
        <is>
          <t>Supervisor Sarah M.</t>
        </is>
      </c>
      <c r="I28" s="98" t="inlineStr">
        <is>
          <t>DEL-AUG13-01</t>
        </is>
      </c>
      <c r="J28" s="99" t="inlineStr">
        <is>
          <t>Supplier Delivery Delivery</t>
        </is>
      </c>
    </row>
    <row r="29" ht="19" customHeight="1">
      <c r="A29" s="98" t="inlineStr">
        <is>
          <t>TRX-0026</t>
        </is>
      </c>
      <c r="B29" s="98" t="inlineStr">
        <is>
          <t>2026-08-15</t>
        </is>
      </c>
      <c r="C29" s="98" t="inlineStr">
        <is>
          <t>ING-001</t>
        </is>
      </c>
      <c r="D29" s="99" t="inlineStr">
        <is>
          <t>Concept Blend 1 (Espresso Beans)</t>
        </is>
      </c>
      <c r="E29" s="115" t="inlineStr">
        <is>
          <t>PULL OUT / WASTE (-)</t>
        </is>
      </c>
      <c r="F29" s="116" t="n">
        <v>-1</v>
      </c>
      <c r="G29" s="98" t="inlineStr">
        <is>
          <t>pack (1kg)</t>
        </is>
      </c>
      <c r="H29" s="99" t="inlineStr">
        <is>
          <t>Store Mgr. Dave T.</t>
        </is>
      </c>
      <c r="I29" s="98" t="inlineStr">
        <is>
          <t>PULL-COF-01</t>
        </is>
      </c>
      <c r="J29" s="99" t="inlineStr">
        <is>
          <t>Espresso grinder dial-in &amp; calibration waste</t>
        </is>
      </c>
    </row>
    <row r="30" ht="19" customHeight="1">
      <c r="A30" s="98" t="inlineStr">
        <is>
          <t>TRX-0027</t>
        </is>
      </c>
      <c r="B30" s="98" t="inlineStr">
        <is>
          <t>2026-08-20</t>
        </is>
      </c>
      <c r="C30" s="98" t="inlineStr">
        <is>
          <t>PKG-001</t>
        </is>
      </c>
      <c r="D30" s="99" t="inlineStr">
        <is>
          <t>Plastic Cup 16oz (Cold PET)</t>
        </is>
      </c>
      <c r="E30" s="115" t="inlineStr">
        <is>
          <t>PULL OUT / WASTE (-)</t>
        </is>
      </c>
      <c r="F30" s="116" t="n">
        <v>-10</v>
      </c>
      <c r="G30" s="98" t="inlineStr">
        <is>
          <t>pcs</t>
        </is>
      </c>
      <c r="H30" s="99" t="inlineStr">
        <is>
          <t>Barista Lead Mark R.</t>
        </is>
      </c>
      <c r="I30" s="98" t="inlineStr">
        <is>
          <t>PULL-PKG-01</t>
        </is>
      </c>
      <c r="J30" s="99" t="inlineStr">
        <is>
          <t>Damaged / crushed rims during delivery unboxing</t>
        </is>
      </c>
    </row>
    <row r="31" ht="19" customHeight="1">
      <c r="A31" s="98" t="inlineStr">
        <is>
          <t>TRX-0028</t>
        </is>
      </c>
      <c r="B31" s="98" t="inlineStr">
        <is>
          <t>2026-08-21</t>
        </is>
      </c>
      <c r="C31" s="98" t="inlineStr">
        <is>
          <t>PKG-002</t>
        </is>
      </c>
      <c r="D31" s="99" t="inlineStr">
        <is>
          <t>Paper Cup 16oz (Hot Large)</t>
        </is>
      </c>
      <c r="E31" s="115" t="inlineStr">
        <is>
          <t>PULL OUT / WASTE (-)</t>
        </is>
      </c>
      <c r="F31" s="116" t="n">
        <v>-8</v>
      </c>
      <c r="G31" s="98" t="inlineStr">
        <is>
          <t>pcs</t>
        </is>
      </c>
      <c r="H31" s="99" t="inlineStr">
        <is>
          <t>Barista Lead Mark R.</t>
        </is>
      </c>
      <c r="I31" s="98" t="inlineStr">
        <is>
          <t>PULL-PKG-02</t>
        </is>
      </c>
      <c r="J31" s="99" t="inlineStr">
        <is>
          <t>Defective seams leak testing</t>
        </is>
      </c>
    </row>
    <row r="32" ht="19" customHeight="1">
      <c r="A32" s="98" t="inlineStr">
        <is>
          <t>TRX-0029</t>
        </is>
      </c>
      <c r="B32" s="98" t="inlineStr">
        <is>
          <t>2026-08-22</t>
        </is>
      </c>
      <c r="C32" s="98" t="inlineStr">
        <is>
          <t>MIX-003</t>
        </is>
      </c>
      <c r="D32" s="99" t="inlineStr">
        <is>
          <t>Lotus Biscoff Biscuits (Garnish)</t>
        </is>
      </c>
      <c r="E32" s="115" t="inlineStr">
        <is>
          <t>PULL OUT / WASTE (-)</t>
        </is>
      </c>
      <c r="F32" s="116" t="n">
        <v>-2</v>
      </c>
      <c r="G32" s="98" t="inlineStr">
        <is>
          <t>pcs</t>
        </is>
      </c>
      <c r="H32" s="99" t="inlineStr">
        <is>
          <t>Supervisor Sarah M.</t>
        </is>
      </c>
      <c r="I32" s="98" t="inlineStr">
        <is>
          <t>PULL-MIX-01</t>
        </is>
      </c>
      <c r="J32" s="99" t="inlineStr">
        <is>
          <t>Crushed biscuit garnish in transit</t>
        </is>
      </c>
    </row>
    <row r="33" ht="19" customHeight="1">
      <c r="A33" s="98" t="inlineStr">
        <is>
          <t>TRX-0030</t>
        </is>
      </c>
      <c r="B33" s="98" t="inlineStr">
        <is>
          <t>2026-08-24</t>
        </is>
      </c>
      <c r="C33" s="98" t="inlineStr">
        <is>
          <t>ING-GEN</t>
        </is>
      </c>
      <c r="D33" s="99" t="inlineStr">
        <is>
          <t>Pale Pelsin - 320ml</t>
        </is>
      </c>
      <c r="E33" s="113" t="inlineStr">
        <is>
          <t>RESTOCK / ADDED (+)</t>
        </is>
      </c>
      <c r="F33" s="114" t="n">
        <v>48</v>
      </c>
      <c r="G33" s="98" t="inlineStr">
        <is>
          <t>Bottle</t>
        </is>
      </c>
      <c r="H33" s="99" t="inlineStr">
        <is>
          <t>Store Mgr. Dave T.</t>
        </is>
      </c>
      <c r="I33" s="98" t="inlineStr">
        <is>
          <t>DEL-AUG24-02</t>
        </is>
      </c>
      <c r="J33" s="99" t="inlineStr">
        <is>
          <t>by bottle</t>
        </is>
      </c>
    </row>
    <row r="34" ht="19" customHeight="1">
      <c r="A34" s="98" t="inlineStr">
        <is>
          <t>TRX-0031</t>
        </is>
      </c>
      <c r="B34" s="98" t="inlineStr">
        <is>
          <t>2026-08-24</t>
        </is>
      </c>
      <c r="C34" s="98" t="inlineStr">
        <is>
          <t>ING-GEN</t>
        </is>
      </c>
      <c r="D34" s="99" t="inlineStr">
        <is>
          <t>Stallion Red Horse -330ml</t>
        </is>
      </c>
      <c r="E34" s="113" t="inlineStr">
        <is>
          <t>RESTOCK / ADDED (+)</t>
        </is>
      </c>
      <c r="F34" s="114" t="n">
        <v>48</v>
      </c>
      <c r="G34" s="98" t="inlineStr">
        <is>
          <t>Bottle</t>
        </is>
      </c>
      <c r="H34" s="99" t="inlineStr">
        <is>
          <t>Store Mgr. Dave T.</t>
        </is>
      </c>
      <c r="I34" s="98" t="inlineStr">
        <is>
          <t>DEL-AUG24-02</t>
        </is>
      </c>
      <c r="J34" s="99" t="inlineStr">
        <is>
          <t>by bottle</t>
        </is>
      </c>
    </row>
    <row r="35" ht="19" customHeight="1">
      <c r="A35" s="98" t="inlineStr">
        <is>
          <t>TRX-0032</t>
        </is>
      </c>
      <c r="B35" s="98" t="inlineStr">
        <is>
          <t>2026-08-24</t>
        </is>
      </c>
      <c r="C35" s="98" t="inlineStr">
        <is>
          <t>ING-GEN</t>
        </is>
      </c>
      <c r="D35" s="99" t="inlineStr">
        <is>
          <t>San Mig Apple - 330ml</t>
        </is>
      </c>
      <c r="E35" s="113" t="inlineStr">
        <is>
          <t>RESTOCK / ADDED (+)</t>
        </is>
      </c>
      <c r="F35" s="114" t="n">
        <v>24</v>
      </c>
      <c r="G35" s="98" t="inlineStr">
        <is>
          <t>Bottle</t>
        </is>
      </c>
      <c r="H35" s="99" t="inlineStr">
        <is>
          <t>Store Mgr. Dave T.</t>
        </is>
      </c>
      <c r="I35" s="98" t="inlineStr">
        <is>
          <t>DEL-AUG24-02</t>
        </is>
      </c>
      <c r="J35" s="99" t="inlineStr">
        <is>
          <t>by bottle</t>
        </is>
      </c>
    </row>
    <row r="36" ht="19" customHeight="1">
      <c r="A36" s="98" t="inlineStr">
        <is>
          <t>TRX-0033</t>
        </is>
      </c>
      <c r="B36" s="98" t="inlineStr">
        <is>
          <t>2026-08-24</t>
        </is>
      </c>
      <c r="C36" s="98" t="inlineStr">
        <is>
          <t>ING-GEN</t>
        </is>
      </c>
      <c r="D36" s="99" t="inlineStr">
        <is>
          <t>Nature Spring - 350ml</t>
        </is>
      </c>
      <c r="E36" s="113" t="inlineStr">
        <is>
          <t>RESTOCK / ADDED (+)</t>
        </is>
      </c>
      <c r="F36" s="114" t="n">
        <v>40</v>
      </c>
      <c r="G36" s="98" t="inlineStr">
        <is>
          <t>Bottle</t>
        </is>
      </c>
      <c r="H36" s="99" t="inlineStr">
        <is>
          <t>Store Mgr. Dave T.</t>
        </is>
      </c>
      <c r="I36" s="98" t="inlineStr">
        <is>
          <t>DEL-AUG24-02</t>
        </is>
      </c>
      <c r="J36" s="99" t="inlineStr">
        <is>
          <t>by bottle</t>
        </is>
      </c>
    </row>
    <row r="37" ht="19" customHeight="1">
      <c r="A37" s="98" t="inlineStr">
        <is>
          <t>TRX-0034</t>
        </is>
      </c>
      <c r="B37" s="98" t="inlineStr">
        <is>
          <t>2026-08-24</t>
        </is>
      </c>
      <c r="C37" s="98" t="inlineStr">
        <is>
          <t>ING-GEN</t>
        </is>
      </c>
      <c r="D37" s="99" t="inlineStr">
        <is>
          <t>Nature Spring - 500ml</t>
        </is>
      </c>
      <c r="E37" s="113" t="inlineStr">
        <is>
          <t>RESTOCK / ADDED (+)</t>
        </is>
      </c>
      <c r="F37" s="114" t="n">
        <v>35</v>
      </c>
      <c r="G37" s="98" t="inlineStr">
        <is>
          <t>Bottle</t>
        </is>
      </c>
      <c r="H37" s="99" t="inlineStr">
        <is>
          <t>Store Mgr. Dave T.</t>
        </is>
      </c>
      <c r="I37" s="98" t="inlineStr">
        <is>
          <t>DEL-AUG24-02</t>
        </is>
      </c>
      <c r="J37" s="99" t="inlineStr">
        <is>
          <t>by bottle</t>
        </is>
      </c>
    </row>
    <row r="38" ht="19" customHeight="1">
      <c r="A38" s="98" t="inlineStr">
        <is>
          <t>TRX-0035</t>
        </is>
      </c>
      <c r="B38" s="98" t="inlineStr">
        <is>
          <t>2026-08-24</t>
        </is>
      </c>
      <c r="C38" s="98" t="inlineStr">
        <is>
          <t>ING-GEN</t>
        </is>
      </c>
      <c r="D38" s="99" t="inlineStr">
        <is>
          <t>Master Barista cows milk 1L</t>
        </is>
      </c>
      <c r="E38" s="113" t="inlineStr">
        <is>
          <t>RESTOCK / ADDED (+)</t>
        </is>
      </c>
      <c r="F38" s="114" t="n">
        <v>12</v>
      </c>
      <c r="G38" s="98" t="inlineStr">
        <is>
          <t>Pack</t>
        </is>
      </c>
      <c r="H38" s="99" t="inlineStr">
        <is>
          <t>Store Mgr. Dave T.</t>
        </is>
      </c>
      <c r="I38" s="98" t="inlineStr">
        <is>
          <t>DEL-AUG24-02</t>
        </is>
      </c>
      <c r="J38" s="99" t="inlineStr">
        <is>
          <t>Supplier delivery replenishment verified</t>
        </is>
      </c>
    </row>
    <row r="39" ht="19" customHeight="1">
      <c r="A39" s="98" t="inlineStr">
        <is>
          <t>TRX-0036</t>
        </is>
      </c>
      <c r="B39" s="98" t="inlineStr">
        <is>
          <t>2026-08-24</t>
        </is>
      </c>
      <c r="C39" s="98" t="inlineStr">
        <is>
          <t>TOR-005</t>
        </is>
      </c>
      <c r="D39" s="99" t="inlineStr">
        <is>
          <t>Torani Macadamia nut syrup 750ml</t>
        </is>
      </c>
      <c r="E39" s="113" t="inlineStr">
        <is>
          <t>RESTOCK / ADDED (+)</t>
        </is>
      </c>
      <c r="F39" s="114" t="n">
        <v>1</v>
      </c>
      <c r="G39" s="98" t="inlineStr">
        <is>
          <t>Bottle</t>
        </is>
      </c>
      <c r="H39" s="99" t="inlineStr">
        <is>
          <t>Store Mgr. Dave T.</t>
        </is>
      </c>
      <c r="I39" s="98" t="inlineStr">
        <is>
          <t>DEL-AUG24-02</t>
        </is>
      </c>
      <c r="J39" s="99" t="inlineStr">
        <is>
          <t>Supplier delivery replenishment verified</t>
        </is>
      </c>
    </row>
    <row r="40" ht="19" customHeight="1">
      <c r="A40" s="98" t="inlineStr">
        <is>
          <t>TRX-0037</t>
        </is>
      </c>
      <c r="B40" s="98" t="inlineStr">
        <is>
          <t>2026-08-24</t>
        </is>
      </c>
      <c r="C40" s="98" t="inlineStr">
        <is>
          <t>TOR-002</t>
        </is>
      </c>
      <c r="D40" s="99" t="inlineStr">
        <is>
          <t>Torani Salted Caramel syrup 750ml</t>
        </is>
      </c>
      <c r="E40" s="113" t="inlineStr">
        <is>
          <t>RESTOCK / ADDED (+)</t>
        </is>
      </c>
      <c r="F40" s="114" t="n">
        <v>1</v>
      </c>
      <c r="G40" s="98" t="inlineStr">
        <is>
          <t>Bottle</t>
        </is>
      </c>
      <c r="H40" s="99" t="inlineStr">
        <is>
          <t>Store Mgr. Dave T.</t>
        </is>
      </c>
      <c r="I40" s="98" t="inlineStr">
        <is>
          <t>DEL-AUG24-02</t>
        </is>
      </c>
      <c r="J40" s="99" t="inlineStr">
        <is>
          <t>Supplier delivery replenishment verified</t>
        </is>
      </c>
    </row>
    <row r="41" ht="19" customHeight="1">
      <c r="A41" s="98" t="inlineStr">
        <is>
          <t>TRX-0038</t>
        </is>
      </c>
      <c r="B41" s="98" t="inlineStr">
        <is>
          <t>2026-08-24</t>
        </is>
      </c>
      <c r="C41" s="98" t="inlineStr">
        <is>
          <t>TOR-009</t>
        </is>
      </c>
      <c r="D41" s="99" t="inlineStr">
        <is>
          <t>Torani Lychee Syrup 750ml</t>
        </is>
      </c>
      <c r="E41" s="113" t="inlineStr">
        <is>
          <t>RESTOCK / ADDED (+)</t>
        </is>
      </c>
      <c r="F41" s="114" t="n">
        <v>1</v>
      </c>
      <c r="G41" s="98" t="inlineStr">
        <is>
          <t>Bottle</t>
        </is>
      </c>
      <c r="H41" s="99" t="inlineStr">
        <is>
          <t>Store Mgr. Dave T.</t>
        </is>
      </c>
      <c r="I41" s="98" t="inlineStr">
        <is>
          <t>DEL-AUG24-02</t>
        </is>
      </c>
      <c r="J41" s="99" t="inlineStr">
        <is>
          <t>Supplier delivery replenishment verified</t>
        </is>
      </c>
    </row>
    <row r="42" ht="19" customHeight="1">
      <c r="A42" s="98" t="inlineStr">
        <is>
          <t>TRX-0039</t>
        </is>
      </c>
      <c r="B42" s="98" t="inlineStr">
        <is>
          <t>2026-08-24</t>
        </is>
      </c>
      <c r="C42" s="98" t="inlineStr">
        <is>
          <t>TOR-008</t>
        </is>
      </c>
      <c r="D42" s="99" t="inlineStr">
        <is>
          <t>Torani Pomegranate syrup 750ml</t>
        </is>
      </c>
      <c r="E42" s="113" t="inlineStr">
        <is>
          <t>RESTOCK / ADDED (+)</t>
        </is>
      </c>
      <c r="F42" s="114" t="n">
        <v>1</v>
      </c>
      <c r="G42" s="98" t="inlineStr">
        <is>
          <t>Bottle</t>
        </is>
      </c>
      <c r="H42" s="99" t="inlineStr">
        <is>
          <t>Store Mgr. Dave T.</t>
        </is>
      </c>
      <c r="I42" s="98" t="inlineStr">
        <is>
          <t>DEL-AUG24-02</t>
        </is>
      </c>
      <c r="J42" s="99" t="inlineStr">
        <is>
          <t>Supplier delivery replenishment verified</t>
        </is>
      </c>
    </row>
    <row r="43" ht="19" customHeight="1">
      <c r="A43" s="98" t="inlineStr">
        <is>
          <t>TRX-0040</t>
        </is>
      </c>
      <c r="B43" s="98" t="inlineStr">
        <is>
          <t>2026-08-24</t>
        </is>
      </c>
      <c r="C43" s="98" t="inlineStr">
        <is>
          <t>TOR-004</t>
        </is>
      </c>
      <c r="D43" s="99" t="inlineStr">
        <is>
          <t>French Vanilla syrup 750ml</t>
        </is>
      </c>
      <c r="E43" s="113" t="inlineStr">
        <is>
          <t>RESTOCK / ADDED (+)</t>
        </is>
      </c>
      <c r="F43" s="114" t="n">
        <v>1</v>
      </c>
      <c r="G43" s="98" t="inlineStr">
        <is>
          <t>Bottle</t>
        </is>
      </c>
      <c r="H43" s="99" t="inlineStr">
        <is>
          <t>Store Mgr. Dave T.</t>
        </is>
      </c>
      <c r="I43" s="98" t="inlineStr">
        <is>
          <t>DEL-AUG24-02</t>
        </is>
      </c>
      <c r="J43" s="99" t="inlineStr">
        <is>
          <t>Supplier delivery replenishment verified</t>
        </is>
      </c>
    </row>
    <row r="44" ht="19" customHeight="1">
      <c r="A44" s="98" t="inlineStr">
        <is>
          <t>TRX-0041</t>
        </is>
      </c>
      <c r="B44" s="98" t="inlineStr">
        <is>
          <t>2026-08-24</t>
        </is>
      </c>
      <c r="C44" s="98" t="inlineStr">
        <is>
          <t>TOR-006</t>
        </is>
      </c>
      <c r="D44" s="99" t="inlineStr">
        <is>
          <t>Hazelnut syrup 750ml</t>
        </is>
      </c>
      <c r="E44" s="113" t="inlineStr">
        <is>
          <t>RESTOCK / ADDED (+)</t>
        </is>
      </c>
      <c r="F44" s="114" t="n">
        <v>1</v>
      </c>
      <c r="G44" s="98" t="inlineStr">
        <is>
          <t>Bottle</t>
        </is>
      </c>
      <c r="H44" s="99" t="inlineStr">
        <is>
          <t>Store Mgr. Dave T.</t>
        </is>
      </c>
      <c r="I44" s="98" t="inlineStr">
        <is>
          <t>DEL-AUG24-02</t>
        </is>
      </c>
      <c r="J44" s="99" t="inlineStr">
        <is>
          <t>Supplier delivery replenishment verified</t>
        </is>
      </c>
    </row>
    <row r="45" ht="19" customHeight="1">
      <c r="A45" s="98" t="inlineStr">
        <is>
          <t>TRX-0042</t>
        </is>
      </c>
      <c r="B45" s="98" t="inlineStr">
        <is>
          <t>2026-08-24</t>
        </is>
      </c>
      <c r="C45" s="98" t="inlineStr">
        <is>
          <t>TOR-001</t>
        </is>
      </c>
      <c r="D45" s="99" t="inlineStr">
        <is>
          <t>Irish cream syrup 750ml</t>
        </is>
      </c>
      <c r="E45" s="113" t="inlineStr">
        <is>
          <t>RESTOCK / ADDED (+)</t>
        </is>
      </c>
      <c r="F45" s="114" t="n">
        <v>1</v>
      </c>
      <c r="G45" s="98" t="inlineStr">
        <is>
          <t>Bottle</t>
        </is>
      </c>
      <c r="H45" s="99" t="inlineStr">
        <is>
          <t>Store Mgr. Dave T.</t>
        </is>
      </c>
      <c r="I45" s="98" t="inlineStr">
        <is>
          <t>DEL-AUG24-02</t>
        </is>
      </c>
      <c r="J45" s="99" t="inlineStr">
        <is>
          <t>Supplier delivery replenishment verified</t>
        </is>
      </c>
    </row>
    <row r="46" ht="19" customHeight="1">
      <c r="A46" s="98" t="inlineStr">
        <is>
          <t>TRX-0043</t>
        </is>
      </c>
      <c r="B46" s="98" t="inlineStr">
        <is>
          <t>2026-08-24</t>
        </is>
      </c>
      <c r="C46" s="98" t="inlineStr">
        <is>
          <t>ING-GEN</t>
        </is>
      </c>
      <c r="D46" s="99" t="inlineStr">
        <is>
          <t>Whoop Classic Ube taro Beverage wonder 1kg</t>
        </is>
      </c>
      <c r="E46" s="113" t="inlineStr">
        <is>
          <t>RESTOCK / ADDED (+)</t>
        </is>
      </c>
      <c r="F46" s="114" t="n">
        <v>1</v>
      </c>
      <c r="G46" s="98" t="inlineStr">
        <is>
          <t>Pack</t>
        </is>
      </c>
      <c r="H46" s="99" t="inlineStr">
        <is>
          <t>Store Mgr. Dave T.</t>
        </is>
      </c>
      <c r="I46" s="98" t="inlineStr">
        <is>
          <t>DEL-AUG24-02</t>
        </is>
      </c>
      <c r="J46" s="99" t="inlineStr">
        <is>
          <t>Supplier delivery replenishment verified</t>
        </is>
      </c>
    </row>
    <row r="47" ht="19" customHeight="1">
      <c r="A47" s="98" t="inlineStr">
        <is>
          <t>TRX-0044</t>
        </is>
      </c>
      <c r="B47" s="98" t="inlineStr">
        <is>
          <t>2026-08-24</t>
        </is>
      </c>
      <c r="C47" s="98" t="inlineStr">
        <is>
          <t>ING-GEN</t>
        </is>
      </c>
      <c r="D47" s="99" t="inlineStr">
        <is>
          <t>Dilmah Gourment Green Tea 100bag</t>
        </is>
      </c>
      <c r="E47" s="113" t="inlineStr">
        <is>
          <t>RESTOCK / ADDED (+)</t>
        </is>
      </c>
      <c r="F47" s="114" t="n">
        <v>1</v>
      </c>
      <c r="G47" s="98" t="inlineStr">
        <is>
          <t>Box</t>
        </is>
      </c>
      <c r="H47" s="99" t="inlineStr">
        <is>
          <t>Store Mgr. Dave T.</t>
        </is>
      </c>
      <c r="I47" s="98" t="inlineStr">
        <is>
          <t>DEL-AUG24-02</t>
        </is>
      </c>
      <c r="J47" s="99" t="inlineStr">
        <is>
          <t>Supplier delivery replenishment verified</t>
        </is>
      </c>
    </row>
    <row r="48" ht="19" customHeight="1">
      <c r="A48" s="98" t="inlineStr">
        <is>
          <t>TRX-0045</t>
        </is>
      </c>
      <c r="B48" s="98" t="inlineStr">
        <is>
          <t>2026-08-24</t>
        </is>
      </c>
      <c r="C48" s="98" t="inlineStr">
        <is>
          <t>ING-GEN</t>
        </is>
      </c>
      <c r="D48" s="99" t="inlineStr">
        <is>
          <t>Dilmah Gourment Green Tea with jasmine 100bag</t>
        </is>
      </c>
      <c r="E48" s="113" t="inlineStr">
        <is>
          <t>RESTOCK / ADDED (+)</t>
        </is>
      </c>
      <c r="F48" s="114" t="n">
        <v>1</v>
      </c>
      <c r="G48" s="98" t="inlineStr">
        <is>
          <t>Box</t>
        </is>
      </c>
      <c r="H48" s="99" t="inlineStr">
        <is>
          <t>Store Mgr. Dave T.</t>
        </is>
      </c>
      <c r="I48" s="98" t="inlineStr">
        <is>
          <t>DEL-AUG24-02</t>
        </is>
      </c>
      <c r="J48" s="99" t="inlineStr">
        <is>
          <t>Supplier delivery replenishment verified</t>
        </is>
      </c>
    </row>
    <row r="49" ht="19" customHeight="1">
      <c r="A49" s="98" t="inlineStr">
        <is>
          <t>TRX-0046</t>
        </is>
      </c>
      <c r="B49" s="98" t="inlineStr">
        <is>
          <t>2026-08-24</t>
        </is>
      </c>
      <c r="C49" s="98" t="inlineStr">
        <is>
          <t>ING-GEN</t>
        </is>
      </c>
      <c r="D49" s="99" t="inlineStr">
        <is>
          <t>Dilmah Earl Grey 100bag</t>
        </is>
      </c>
      <c r="E49" s="113" t="inlineStr">
        <is>
          <t>RESTOCK / ADDED (+)</t>
        </is>
      </c>
      <c r="F49" s="114" t="n">
        <v>1</v>
      </c>
      <c r="G49" s="98" t="inlineStr">
        <is>
          <t>Box</t>
        </is>
      </c>
      <c r="H49" s="99" t="inlineStr">
        <is>
          <t>Store Mgr. Dave T.</t>
        </is>
      </c>
      <c r="I49" s="98" t="inlineStr">
        <is>
          <t>DEL-AUG24-02</t>
        </is>
      </c>
      <c r="J49" s="99" t="inlineStr">
        <is>
          <t>Supplier delivery replenishment verified</t>
        </is>
      </c>
    </row>
    <row r="50" ht="19" customHeight="1">
      <c r="A50" s="98" t="inlineStr">
        <is>
          <t>TRX-0047</t>
        </is>
      </c>
      <c r="B50" s="98" t="inlineStr">
        <is>
          <t>2026-08-24</t>
        </is>
      </c>
      <c r="C50" s="98" t="inlineStr">
        <is>
          <t>ING-GEN</t>
        </is>
      </c>
      <c r="D50" s="99" t="inlineStr">
        <is>
          <t>Dilmah Pure camomile flowers 100bags</t>
        </is>
      </c>
      <c r="E50" s="113" t="inlineStr">
        <is>
          <t>RESTOCK / ADDED (+)</t>
        </is>
      </c>
      <c r="F50" s="114" t="n">
        <v>1</v>
      </c>
      <c r="G50" s="98" t="inlineStr">
        <is>
          <t>Box</t>
        </is>
      </c>
      <c r="H50" s="99" t="inlineStr">
        <is>
          <t>Store Mgr. Dave T.</t>
        </is>
      </c>
      <c r="I50" s="98" t="inlineStr">
        <is>
          <t>DEL-AUG24-02</t>
        </is>
      </c>
      <c r="J50" s="99" t="inlineStr">
        <is>
          <t>Supplier delivery replenishment verified</t>
        </is>
      </c>
    </row>
    <row r="51" ht="19" customHeight="1">
      <c r="A51" s="98" t="inlineStr">
        <is>
          <t>TRX-0048</t>
        </is>
      </c>
      <c r="B51" s="98" t="inlineStr">
        <is>
          <t>2026-08-24</t>
        </is>
      </c>
      <c r="C51" s="98" t="inlineStr">
        <is>
          <t>DLM-005</t>
        </is>
      </c>
      <c r="D51" s="99" t="inlineStr">
        <is>
          <t>Dilmah Traditional oolong tea 100bags</t>
        </is>
      </c>
      <c r="E51" s="113" t="inlineStr">
        <is>
          <t>RESTOCK / ADDED (+)</t>
        </is>
      </c>
      <c r="F51" s="114" t="n">
        <v>1</v>
      </c>
      <c r="G51" s="98" t="inlineStr">
        <is>
          <t>Box</t>
        </is>
      </c>
      <c r="H51" s="99" t="inlineStr">
        <is>
          <t>Store Mgr. Dave T.</t>
        </is>
      </c>
      <c r="I51" s="98" t="inlineStr">
        <is>
          <t>DEL-AUG24-02</t>
        </is>
      </c>
      <c r="J51" s="99" t="inlineStr">
        <is>
          <t>Supplier delivery replenishment verified</t>
        </is>
      </c>
    </row>
    <row r="52" ht="19" customHeight="1">
      <c r="A52" s="98" t="inlineStr">
        <is>
          <t>TRX-0049</t>
        </is>
      </c>
      <c r="B52" s="98" t="inlineStr">
        <is>
          <t>2026-08-24</t>
        </is>
      </c>
      <c r="C52" s="98" t="inlineStr">
        <is>
          <t>ING-GEN</t>
        </is>
      </c>
      <c r="D52" s="99" t="inlineStr">
        <is>
          <t>Dilmah pure peppermint leaves 100bags</t>
        </is>
      </c>
      <c r="E52" s="113" t="inlineStr">
        <is>
          <t>RESTOCK / ADDED (+)</t>
        </is>
      </c>
      <c r="F52" s="114" t="n">
        <v>1</v>
      </c>
      <c r="G52" s="98" t="inlineStr">
        <is>
          <t>Box</t>
        </is>
      </c>
      <c r="H52" s="99" t="inlineStr">
        <is>
          <t>Store Mgr. Dave T.</t>
        </is>
      </c>
      <c r="I52" s="98" t="inlineStr">
        <is>
          <t>DEL-AUG24-02</t>
        </is>
      </c>
      <c r="J52" s="99" t="inlineStr">
        <is>
          <t>Supplier delivery replenishment verified</t>
        </is>
      </c>
    </row>
    <row r="53" ht="19" customHeight="1">
      <c r="A53" s="98" t="inlineStr">
        <is>
          <t>TRX-0050</t>
        </is>
      </c>
      <c r="B53" s="98" t="inlineStr">
        <is>
          <t>2026-08-24</t>
        </is>
      </c>
      <c r="C53" s="98" t="inlineStr">
        <is>
          <t>ING-GEN</t>
        </is>
      </c>
      <c r="D53" s="99" t="inlineStr">
        <is>
          <t>Torani Manggo puree blend 1.89L</t>
        </is>
      </c>
      <c r="E53" s="113" t="inlineStr">
        <is>
          <t>RESTOCK / ADDED (+)</t>
        </is>
      </c>
      <c r="F53" s="114" t="n">
        <v>1</v>
      </c>
      <c r="G53" s="98" t="inlineStr">
        <is>
          <t>Gallon</t>
        </is>
      </c>
      <c r="H53" s="99" t="inlineStr">
        <is>
          <t>Store Mgr. Dave T.</t>
        </is>
      </c>
      <c r="I53" s="98" t="inlineStr">
        <is>
          <t>DEL-AUG24-02</t>
        </is>
      </c>
      <c r="J53" s="99" t="inlineStr">
        <is>
          <t>Supplier delivery replenishment verified</t>
        </is>
      </c>
    </row>
    <row r="54" ht="19" customHeight="1">
      <c r="A54" s="98" t="inlineStr">
        <is>
          <t>TRX-0051</t>
        </is>
      </c>
      <c r="B54" s="98" t="inlineStr">
        <is>
          <t>2026-08-24</t>
        </is>
      </c>
      <c r="C54" s="98" t="inlineStr">
        <is>
          <t>ING-GEN</t>
        </is>
      </c>
      <c r="D54" s="99" t="inlineStr">
        <is>
          <t>Torani strawberry puree blend 1.89L</t>
        </is>
      </c>
      <c r="E54" s="113" t="inlineStr">
        <is>
          <t>RESTOCK / ADDED (+)</t>
        </is>
      </c>
      <c r="F54" s="114" t="n">
        <v>1</v>
      </c>
      <c r="G54" s="98" t="inlineStr">
        <is>
          <t>Gallon</t>
        </is>
      </c>
      <c r="H54" s="99" t="inlineStr">
        <is>
          <t>Store Mgr. Dave T.</t>
        </is>
      </c>
      <c r="I54" s="98" t="inlineStr">
        <is>
          <t>DEL-AUG24-02</t>
        </is>
      </c>
      <c r="J54" s="99" t="inlineStr">
        <is>
          <t>Supplier delivery replenishment verified</t>
        </is>
      </c>
    </row>
    <row r="55" ht="19" customHeight="1">
      <c r="A55" s="98" t="inlineStr">
        <is>
          <t>TRX-0052</t>
        </is>
      </c>
      <c r="B55" s="98" t="inlineStr">
        <is>
          <t>2026-08-24</t>
        </is>
      </c>
      <c r="C55" s="98" t="inlineStr">
        <is>
          <t>SNK-001</t>
        </is>
      </c>
      <c r="D55" s="99" t="inlineStr">
        <is>
          <t>Pringles cheddar cheese 158g</t>
        </is>
      </c>
      <c r="E55" s="113" t="inlineStr">
        <is>
          <t>RESTOCK / ADDED (+)</t>
        </is>
      </c>
      <c r="F55" s="114" t="n">
        <v>3</v>
      </c>
      <c r="G55" s="98" t="inlineStr">
        <is>
          <t>Tubular can</t>
        </is>
      </c>
      <c r="H55" s="99" t="inlineStr">
        <is>
          <t>Store Mgr. Dave T.</t>
        </is>
      </c>
      <c r="I55" s="98" t="inlineStr">
        <is>
          <t>DEL-AUG24-02</t>
        </is>
      </c>
      <c r="J55" s="99" t="inlineStr">
        <is>
          <t>Supplier delivery replenishment verified</t>
        </is>
      </c>
    </row>
    <row r="56" ht="19" customHeight="1">
      <c r="A56" s="98" t="inlineStr">
        <is>
          <t>TRX-0053</t>
        </is>
      </c>
      <c r="B56" s="98" t="inlineStr">
        <is>
          <t>2026-08-24</t>
        </is>
      </c>
      <c r="C56" s="98" t="inlineStr">
        <is>
          <t>ING-GEN</t>
        </is>
      </c>
      <c r="D56" s="99" t="inlineStr">
        <is>
          <t>Pringle's sour and cream &amp; onion 158g</t>
        </is>
      </c>
      <c r="E56" s="113" t="inlineStr">
        <is>
          <t>RESTOCK / ADDED (+)</t>
        </is>
      </c>
      <c r="F56" s="114" t="n">
        <v>3</v>
      </c>
      <c r="G56" s="98" t="inlineStr">
        <is>
          <t>Tubular can</t>
        </is>
      </c>
      <c r="H56" s="99" t="inlineStr">
        <is>
          <t>Store Mgr. Dave T.</t>
        </is>
      </c>
      <c r="I56" s="98" t="inlineStr">
        <is>
          <t>DEL-AUG24-02</t>
        </is>
      </c>
      <c r="J56" s="99" t="inlineStr">
        <is>
          <t>Supplier delivery replenishment verified</t>
        </is>
      </c>
    </row>
    <row r="57" ht="19" customHeight="1">
      <c r="A57" s="98" t="inlineStr">
        <is>
          <t>TRX-0054</t>
        </is>
      </c>
      <c r="B57" s="98" t="inlineStr">
        <is>
          <t>2026-08-24</t>
        </is>
      </c>
      <c r="C57" s="98" t="inlineStr">
        <is>
          <t>ING-GEN</t>
        </is>
      </c>
      <c r="D57" s="99" t="inlineStr">
        <is>
          <t>Pringle's original 158g</t>
        </is>
      </c>
      <c r="E57" s="113" t="inlineStr">
        <is>
          <t>RESTOCK / ADDED (+)</t>
        </is>
      </c>
      <c r="F57" s="114" t="n">
        <v>3</v>
      </c>
      <c r="G57" s="98" t="inlineStr">
        <is>
          <t>Tubular can</t>
        </is>
      </c>
      <c r="H57" s="99" t="inlineStr">
        <is>
          <t>Store Mgr. Dave T.</t>
        </is>
      </c>
      <c r="I57" s="98" t="inlineStr">
        <is>
          <t>DEL-AUG24-02</t>
        </is>
      </c>
      <c r="J57" s="99" t="inlineStr">
        <is>
          <t>Supplier delivery replenishment verified</t>
        </is>
      </c>
    </row>
    <row r="58" ht="19" customHeight="1">
      <c r="A58" s="98" t="inlineStr">
        <is>
          <t>TRX-0055</t>
        </is>
      </c>
      <c r="B58" s="98" t="inlineStr">
        <is>
          <t>2026-08-24</t>
        </is>
      </c>
      <c r="C58" s="98" t="inlineStr">
        <is>
          <t>SNK-004</t>
        </is>
      </c>
      <c r="D58" s="99" t="inlineStr">
        <is>
          <t>Cheetos cheddar jalapeño 226.8g</t>
        </is>
      </c>
      <c r="E58" s="113" t="inlineStr">
        <is>
          <t>RESTOCK / ADDED (+)</t>
        </is>
      </c>
      <c r="F58" s="114" t="n">
        <v>3</v>
      </c>
      <c r="G58" s="98" t="inlineStr">
        <is>
          <t>Pack</t>
        </is>
      </c>
      <c r="H58" s="99" t="inlineStr">
        <is>
          <t>Store Mgr. Dave T.</t>
        </is>
      </c>
      <c r="I58" s="98" t="inlineStr">
        <is>
          <t>DEL-AUG24-02</t>
        </is>
      </c>
      <c r="J58" s="99" t="inlineStr">
        <is>
          <t>Supplier delivery replenishment verified</t>
        </is>
      </c>
    </row>
    <row r="59" ht="19" customHeight="1">
      <c r="A59" s="98" t="inlineStr">
        <is>
          <t>TRX-0056</t>
        </is>
      </c>
      <c r="B59" s="98" t="inlineStr">
        <is>
          <t>2026-08-24</t>
        </is>
      </c>
      <c r="C59" s="98" t="inlineStr">
        <is>
          <t>ING-GEN</t>
        </is>
      </c>
      <c r="D59" s="99" t="inlineStr">
        <is>
          <t>Coca Cola 320ml</t>
        </is>
      </c>
      <c r="E59" s="113" t="inlineStr">
        <is>
          <t>RESTOCK / ADDED (+)</t>
        </is>
      </c>
      <c r="F59" s="114" t="n">
        <v>24</v>
      </c>
      <c r="G59" s="98" t="inlineStr">
        <is>
          <t>Can</t>
        </is>
      </c>
      <c r="H59" s="99" t="inlineStr">
        <is>
          <t>Store Mgr. Dave T.</t>
        </is>
      </c>
      <c r="I59" s="98" t="inlineStr">
        <is>
          <t>DEL-AUG24-02</t>
        </is>
      </c>
      <c r="J59" s="99" t="inlineStr">
        <is>
          <t>Supplier delivery replenishment verified</t>
        </is>
      </c>
    </row>
    <row r="60" ht="19" customHeight="1">
      <c r="A60" s="98" t="inlineStr">
        <is>
          <t>TRX-0057</t>
        </is>
      </c>
      <c r="B60" s="98" t="inlineStr">
        <is>
          <t>2026-08-24</t>
        </is>
      </c>
      <c r="C60" s="98" t="inlineStr">
        <is>
          <t>ING-GEN</t>
        </is>
      </c>
      <c r="D60" s="99" t="inlineStr">
        <is>
          <t>Sprite 320ml</t>
        </is>
      </c>
      <c r="E60" s="113" t="inlineStr">
        <is>
          <t>RESTOCK / ADDED (+)</t>
        </is>
      </c>
      <c r="F60" s="114" t="n">
        <v>24</v>
      </c>
      <c r="G60" s="98" t="inlineStr">
        <is>
          <t>Can</t>
        </is>
      </c>
      <c r="H60" s="99" t="inlineStr">
        <is>
          <t>Store Mgr. Dave T.</t>
        </is>
      </c>
      <c r="I60" s="98" t="inlineStr">
        <is>
          <t>DEL-AUG24-02</t>
        </is>
      </c>
      <c r="J60" s="99" t="inlineStr">
        <is>
          <t>Supplier delivery replenishment verified</t>
        </is>
      </c>
    </row>
    <row r="61" ht="19" customHeight="1">
      <c r="A61" s="98" t="inlineStr">
        <is>
          <t>TRX-0058</t>
        </is>
      </c>
      <c r="B61" s="98" t="inlineStr">
        <is>
          <t>2026-08-24</t>
        </is>
      </c>
      <c r="C61" s="98" t="inlineStr">
        <is>
          <t>ING-GEN</t>
        </is>
      </c>
      <c r="D61" s="99" t="inlineStr">
        <is>
          <t>Coca Cola Zero sugar 320ml</t>
        </is>
      </c>
      <c r="E61" s="113" t="inlineStr">
        <is>
          <t>RESTOCK / ADDED (+)</t>
        </is>
      </c>
      <c r="F61" s="114" t="n">
        <v>24</v>
      </c>
      <c r="G61" s="98" t="inlineStr">
        <is>
          <t>Can</t>
        </is>
      </c>
      <c r="H61" s="99" t="inlineStr">
        <is>
          <t>Store Mgr. Dave T.</t>
        </is>
      </c>
      <c r="I61" s="98" t="inlineStr">
        <is>
          <t>DEL-AUG24-02</t>
        </is>
      </c>
      <c r="J61" s="99" t="inlineStr">
        <is>
          <t>Supplier delivery replenishment verified</t>
        </is>
      </c>
    </row>
    <row r="62" ht="19" customHeight="1">
      <c r="A62" s="98" t="inlineStr">
        <is>
          <t>TRX-0059</t>
        </is>
      </c>
      <c r="B62" s="98" t="inlineStr">
        <is>
          <t>2026-08-24</t>
        </is>
      </c>
      <c r="C62" s="98" t="inlineStr">
        <is>
          <t>ING-GEN</t>
        </is>
      </c>
      <c r="D62" s="99" t="inlineStr">
        <is>
          <t>Butter lover popcorn 32bags</t>
        </is>
      </c>
      <c r="E62" s="113" t="inlineStr">
        <is>
          <t>RESTOCK / ADDED (+)</t>
        </is>
      </c>
      <c r="F62" s="114" t="n">
        <v>1</v>
      </c>
      <c r="G62" s="98" t="inlineStr">
        <is>
          <t>Box</t>
        </is>
      </c>
      <c r="H62" s="99" t="inlineStr">
        <is>
          <t>Store Mgr. Dave T.</t>
        </is>
      </c>
      <c r="I62" s="98" t="inlineStr">
        <is>
          <t>DEL-AUG24-02</t>
        </is>
      </c>
      <c r="J62" s="99" t="inlineStr">
        <is>
          <t>Supplier delivery replenishment verified</t>
        </is>
      </c>
    </row>
    <row r="63" ht="19" customHeight="1">
      <c r="A63" s="98" t="inlineStr">
        <is>
          <t>TRX-0060</t>
        </is>
      </c>
      <c r="B63" s="98" t="inlineStr">
        <is>
          <t>2026-08-24</t>
        </is>
      </c>
      <c r="C63" s="98" t="inlineStr">
        <is>
          <t>ING-GEN</t>
        </is>
      </c>
      <c r="D63" s="99" t="inlineStr">
        <is>
          <t>Perrier 330ml</t>
        </is>
      </c>
      <c r="E63" s="113" t="inlineStr">
        <is>
          <t>RESTOCK / ADDED (+)</t>
        </is>
      </c>
      <c r="F63" s="114" t="n">
        <v>4</v>
      </c>
      <c r="G63" s="98" t="inlineStr">
        <is>
          <t>Bottle</t>
        </is>
      </c>
      <c r="H63" s="99" t="inlineStr">
        <is>
          <t>Store Mgr. Dave T.</t>
        </is>
      </c>
      <c r="I63" s="98" t="inlineStr">
        <is>
          <t>DEL-AUG24-02</t>
        </is>
      </c>
      <c r="J63" s="99" t="inlineStr">
        <is>
          <t>Supplier delivery replenishment verified</t>
        </is>
      </c>
    </row>
    <row r="64" ht="19" customHeight="1">
      <c r="A64" s="98" t="inlineStr">
        <is>
          <t>TRX-0061</t>
        </is>
      </c>
      <c r="B64" s="98" t="inlineStr">
        <is>
          <t>2026-08-24</t>
        </is>
      </c>
      <c r="C64" s="98" t="inlineStr">
        <is>
          <t>ING-GEN</t>
        </is>
      </c>
      <c r="D64" s="99" t="inlineStr">
        <is>
          <t>Evian water 500ml</t>
        </is>
      </c>
      <c r="E64" s="113" t="inlineStr">
        <is>
          <t>RESTOCK / ADDED (+)</t>
        </is>
      </c>
      <c r="F64" s="114" t="n">
        <v>6</v>
      </c>
      <c r="G64" s="98" t="inlineStr">
        <is>
          <t>Bottle</t>
        </is>
      </c>
      <c r="H64" s="99" t="inlineStr">
        <is>
          <t>Store Mgr. Dave T.</t>
        </is>
      </c>
      <c r="I64" s="98" t="inlineStr">
        <is>
          <t>DEL-AUG24-02</t>
        </is>
      </c>
      <c r="J64" s="99" t="inlineStr">
        <is>
          <t>Supplier delivery replenishment verified</t>
        </is>
      </c>
    </row>
    <row r="65" ht="19" customHeight="1">
      <c r="A65" s="98" t="inlineStr">
        <is>
          <t>TRX-0062</t>
        </is>
      </c>
      <c r="B65" s="98" t="inlineStr">
        <is>
          <t>2026-08-24</t>
        </is>
      </c>
      <c r="C65" s="98" t="inlineStr">
        <is>
          <t>BEV-004</t>
        </is>
      </c>
      <c r="D65" s="99" t="inlineStr">
        <is>
          <t>Sprite 1.5L</t>
        </is>
      </c>
      <c r="E65" s="113" t="inlineStr">
        <is>
          <t>RESTOCK / ADDED (+)</t>
        </is>
      </c>
      <c r="F65" s="114" t="n">
        <v>6</v>
      </c>
      <c r="G65" s="98" t="inlineStr">
        <is>
          <t>Bottle</t>
        </is>
      </c>
      <c r="H65" s="99" t="inlineStr">
        <is>
          <t>Store Mgr. Dave T.</t>
        </is>
      </c>
      <c r="I65" s="98" t="inlineStr">
        <is>
          <t>DEL-AUG24-02</t>
        </is>
      </c>
      <c r="J65" s="99" t="inlineStr">
        <is>
          <t>Supplier delivery replenishment verified</t>
        </is>
      </c>
    </row>
    <row r="66" ht="19" customHeight="1">
      <c r="A66" s="98" t="inlineStr">
        <is>
          <t>TRX-0063</t>
        </is>
      </c>
      <c r="B66" s="98" t="inlineStr">
        <is>
          <t>2026-08-25</t>
        </is>
      </c>
      <c r="C66" s="98" t="inlineStr">
        <is>
          <t>ING-GEN</t>
        </is>
      </c>
      <c r="D66" s="99" t="inlineStr">
        <is>
          <t>Crinkles 16pcs</t>
        </is>
      </c>
      <c r="E66" s="113" t="inlineStr">
        <is>
          <t>RESTOCK / ADDED (+)</t>
        </is>
      </c>
      <c r="F66" s="114" t="n">
        <v>1</v>
      </c>
      <c r="G66" s="98" t="inlineStr">
        <is>
          <t>Box</t>
        </is>
      </c>
      <c r="H66" s="99" t="inlineStr">
        <is>
          <t>Store Mgr. Dave T.</t>
        </is>
      </c>
      <c r="I66" s="98" t="inlineStr">
        <is>
          <t>DEL-AUG24-02</t>
        </is>
      </c>
      <c r="J66" s="99" t="inlineStr">
        <is>
          <t>Supplier delivery replenishment verified</t>
        </is>
      </c>
    </row>
    <row r="67" ht="19" customHeight="1">
      <c r="A67" s="98" t="inlineStr">
        <is>
          <t>TRX-0064</t>
        </is>
      </c>
      <c r="B67" s="98" t="inlineStr">
        <is>
          <t>2026-08-25</t>
        </is>
      </c>
      <c r="C67" s="98" t="inlineStr">
        <is>
          <t>ING-GEN</t>
        </is>
      </c>
      <c r="D67" s="99" t="inlineStr">
        <is>
          <t>Ensaymada 6pcs</t>
        </is>
      </c>
      <c r="E67" s="113" t="inlineStr">
        <is>
          <t>RESTOCK / ADDED (+)</t>
        </is>
      </c>
      <c r="F67" s="114" t="n">
        <v>1</v>
      </c>
      <c r="G67" s="98" t="inlineStr">
        <is>
          <t>Box</t>
        </is>
      </c>
      <c r="H67" s="99" t="inlineStr">
        <is>
          <t>Store Mgr. Dave T.</t>
        </is>
      </c>
      <c r="I67" s="98" t="inlineStr">
        <is>
          <t>DEL-AUG24-02</t>
        </is>
      </c>
      <c r="J67" s="99" t="inlineStr">
        <is>
          <t>Supplier delivery replenishment verified</t>
        </is>
      </c>
    </row>
    <row r="68" ht="19" customHeight="1">
      <c r="A68" s="98" t="inlineStr">
        <is>
          <t>TRX-0065</t>
        </is>
      </c>
      <c r="B68" s="98" t="inlineStr">
        <is>
          <t>2026-08-25</t>
        </is>
      </c>
      <c r="C68" s="98" t="inlineStr">
        <is>
          <t>ING-GEN</t>
        </is>
      </c>
      <c r="D68" s="99" t="inlineStr">
        <is>
          <t>Muffin 6pcs</t>
        </is>
      </c>
      <c r="E68" s="113" t="inlineStr">
        <is>
          <t>RESTOCK / ADDED (+)</t>
        </is>
      </c>
      <c r="F68" s="114" t="n">
        <v>1</v>
      </c>
      <c r="G68" s="98" t="inlineStr">
        <is>
          <t>Box</t>
        </is>
      </c>
      <c r="H68" s="99" t="inlineStr">
        <is>
          <t>Store Mgr. Dave T.</t>
        </is>
      </c>
      <c r="I68" s="98" t="inlineStr">
        <is>
          <t>DEL-AUG24-02</t>
        </is>
      </c>
      <c r="J68" s="99" t="inlineStr">
        <is>
          <t>Supplier delivery replenishment verified</t>
        </is>
      </c>
    </row>
    <row r="69" ht="19" customHeight="1">
      <c r="A69" s="98" t="inlineStr">
        <is>
          <t>TRX-0066</t>
        </is>
      </c>
      <c r="B69" s="98" t="inlineStr">
        <is>
          <t>2026-08-25</t>
        </is>
      </c>
      <c r="C69" s="98" t="inlineStr">
        <is>
          <t>ING-GEN</t>
        </is>
      </c>
      <c r="D69" s="99" t="inlineStr">
        <is>
          <t>Cake 1 rectangular shape</t>
        </is>
      </c>
      <c r="E69" s="113" t="inlineStr">
        <is>
          <t>RESTOCK / ADDED (+)</t>
        </is>
      </c>
      <c r="F69" s="114" t="n">
        <v>1</v>
      </c>
      <c r="G69" s="98" t="inlineStr">
        <is>
          <t>Box</t>
        </is>
      </c>
      <c r="H69" s="99" t="inlineStr">
        <is>
          <t>Store Mgr. Dave T.</t>
        </is>
      </c>
      <c r="I69" s="98" t="inlineStr">
        <is>
          <t>DEL-AUG24-02</t>
        </is>
      </c>
      <c r="J69" s="99" t="inlineStr">
        <is>
          <t>Supplier delivery replenishment verified</t>
        </is>
      </c>
    </row>
    <row r="70" ht="19" customHeight="1">
      <c r="A70" s="98" t="inlineStr">
        <is>
          <t>TRX-0067</t>
        </is>
      </c>
      <c r="B70" s="98" t="inlineStr">
        <is>
          <t>2026-08-25</t>
        </is>
      </c>
      <c r="C70" s="98" t="inlineStr">
        <is>
          <t>POW-003</t>
        </is>
      </c>
      <c r="D70" s="99" t="inlineStr">
        <is>
          <t>Matcha Powder (Pure / Culinary)</t>
        </is>
      </c>
      <c r="E70" s="115" t="inlineStr">
        <is>
          <t>PULL OUT / WASTE (-)</t>
        </is>
      </c>
      <c r="F70" s="116" t="n">
        <v>-15</v>
      </c>
      <c r="G70" s="98" t="inlineStr">
        <is>
          <t>grams</t>
        </is>
      </c>
      <c r="H70" s="99" t="inlineStr">
        <is>
          <t>Barista Mark R.</t>
        </is>
      </c>
      <c r="I70" s="98" t="inlineStr">
        <is>
          <t>PULL-POW-01</t>
        </is>
      </c>
      <c r="J70" s="99" t="inlineStr">
        <is>
          <t>Spillage during daily shaker canister refill</t>
        </is>
      </c>
    </row>
    <row r="71" ht="19" customHeight="1">
      <c r="A71" s="98" t="inlineStr">
        <is>
          <t>TRX-0068</t>
        </is>
      </c>
      <c r="B71" s="98" t="inlineStr">
        <is>
          <t>2026-08-27</t>
        </is>
      </c>
      <c r="C71" s="98" t="inlineStr">
        <is>
          <t>BEV-001</t>
        </is>
      </c>
      <c r="D71" s="99" t="inlineStr">
        <is>
          <t>Coca-Cola Zero Sugar 320ml Can</t>
        </is>
      </c>
      <c r="E71" s="115" t="inlineStr">
        <is>
          <t>PULL OUT / WASTE (-)</t>
        </is>
      </c>
      <c r="F71" s="116" t="n">
        <v>-1</v>
      </c>
      <c r="G71" s="98" t="inlineStr">
        <is>
          <t>cans</t>
        </is>
      </c>
      <c r="H71" s="99" t="inlineStr">
        <is>
          <t>Supervisor Sarah M.</t>
        </is>
      </c>
      <c r="I71" s="98" t="inlineStr">
        <is>
          <t>PULL-BEV-01</t>
        </is>
      </c>
      <c r="J71" s="99" t="inlineStr">
        <is>
          <t>Dented can / tab puncture during stock handling</t>
        </is>
      </c>
    </row>
    <row r="72" ht="19" customHeight="1">
      <c r="A72" s="98" t="inlineStr">
        <is>
          <t>TRX-0069</t>
        </is>
      </c>
      <c r="B72" s="98" t="inlineStr">
        <is>
          <t>2026-08-28</t>
        </is>
      </c>
      <c r="C72" s="98" t="inlineStr">
        <is>
          <t>BEV-008</t>
        </is>
      </c>
      <c r="D72" s="99" t="inlineStr">
        <is>
          <t>San Miguel Pale Pilsen 320ml</t>
        </is>
      </c>
      <c r="E72" s="115" t="inlineStr">
        <is>
          <t>PULL OUT / WASTE (-)</t>
        </is>
      </c>
      <c r="F72" s="116" t="n">
        <v>-1</v>
      </c>
      <c r="G72" s="98" t="inlineStr">
        <is>
          <t>bottles</t>
        </is>
      </c>
      <c r="H72" s="99" t="inlineStr">
        <is>
          <t>Barista Mark R.</t>
        </is>
      </c>
      <c r="I72" s="98" t="inlineStr">
        <is>
          <t>PULL-BEV-02</t>
        </is>
      </c>
      <c r="J72" s="99" t="inlineStr">
        <is>
          <t>Chiller bottle neck chip / discarded for safety</t>
        </is>
      </c>
    </row>
    <row r="73" ht="19" customHeight="1">
      <c r="A73" s="98" t="inlineStr">
        <is>
          <t>TRX-0070</t>
        </is>
      </c>
      <c r="B73" s="98" t="inlineStr">
        <is>
          <t>2026-09-02</t>
        </is>
      </c>
      <c r="C73" s="98" t="inlineStr">
        <is>
          <t>ING-GEN</t>
        </is>
      </c>
      <c r="D73" s="99" t="inlineStr">
        <is>
          <t>Barista Milk (full cream)</t>
        </is>
      </c>
      <c r="E73" s="113" t="inlineStr">
        <is>
          <t>RESTOCK / ADDED (+)</t>
        </is>
      </c>
      <c r="F73" s="114" t="n">
        <v>5</v>
      </c>
      <c r="G73" s="98" t="inlineStr">
        <is>
          <t>boxes</t>
        </is>
      </c>
      <c r="H73" s="99" t="inlineStr">
        <is>
          <t>Barista Lead Mark R.</t>
        </is>
      </c>
      <c r="I73" s="98" t="inlineStr">
        <is>
          <t>DEL-SEP02-03</t>
        </is>
      </c>
      <c r="J73" s="99" t="inlineStr">
        <is>
          <t>12pcs/litter per box</t>
        </is>
      </c>
    </row>
    <row r="74" ht="19" customHeight="1">
      <c r="A74" s="98" t="inlineStr">
        <is>
          <t>TRX-0071</t>
        </is>
      </c>
      <c r="B74" s="98" t="inlineStr">
        <is>
          <t>2026-09-02</t>
        </is>
      </c>
      <c r="C74" s="98" t="inlineStr">
        <is>
          <t>ING-GEN</t>
        </is>
      </c>
      <c r="D74" s="99" t="inlineStr">
        <is>
          <t>oatmlik</t>
        </is>
      </c>
      <c r="E74" s="113" t="inlineStr">
        <is>
          <t>RESTOCK / ADDED (+)</t>
        </is>
      </c>
      <c r="F74" s="114" t="n">
        <v>3</v>
      </c>
      <c r="G74" s="98" t="inlineStr">
        <is>
          <t>liter</t>
        </is>
      </c>
      <c r="H74" s="99" t="inlineStr">
        <is>
          <t>Barista Lead Mark R.</t>
        </is>
      </c>
      <c r="I74" s="98" t="inlineStr">
        <is>
          <t>DEL-SEP02-03</t>
        </is>
      </c>
      <c r="J74" s="99" t="inlineStr">
        <is>
          <t>3 pcs, 1 liter each</t>
        </is>
      </c>
    </row>
    <row r="75" ht="19" customHeight="1">
      <c r="A75" s="98" t="inlineStr">
        <is>
          <t>TRX-0072</t>
        </is>
      </c>
      <c r="B75" s="98" t="inlineStr">
        <is>
          <t>2026-09-02</t>
        </is>
      </c>
      <c r="C75" s="98" t="inlineStr">
        <is>
          <t>ING-GEN</t>
        </is>
      </c>
      <c r="D75" s="99" t="inlineStr">
        <is>
          <t>caramel torani</t>
        </is>
      </c>
      <c r="E75" s="113" t="inlineStr">
        <is>
          <t>RESTOCK / ADDED (+)</t>
        </is>
      </c>
      <c r="F75" s="114" t="n">
        <v>1</v>
      </c>
      <c r="G75" s="98" t="inlineStr">
        <is>
          <t>galloon</t>
        </is>
      </c>
      <c r="H75" s="99" t="inlineStr">
        <is>
          <t>Barista Lead Mark R.</t>
        </is>
      </c>
      <c r="I75" s="98" t="inlineStr">
        <is>
          <t>DEL-SEP02-03</t>
        </is>
      </c>
      <c r="J75" s="99" t="inlineStr">
        <is>
          <t>1.89 LITER EACH</t>
        </is>
      </c>
    </row>
    <row r="76" ht="19" customHeight="1">
      <c r="A76" s="98" t="inlineStr">
        <is>
          <t>TRX-0073</t>
        </is>
      </c>
      <c r="B76" s="98" t="inlineStr">
        <is>
          <t>2026-09-02</t>
        </is>
      </c>
      <c r="C76" s="98" t="inlineStr">
        <is>
          <t>ING-GEN</t>
        </is>
      </c>
      <c r="D76" s="99" t="inlineStr">
        <is>
          <t>White Chocolate Syrup Torani</t>
        </is>
      </c>
      <c r="E76" s="113" t="inlineStr">
        <is>
          <t>RESTOCK / ADDED (+)</t>
        </is>
      </c>
      <c r="F76" s="114" t="n">
        <v>1</v>
      </c>
      <c r="G76" s="98" t="inlineStr">
        <is>
          <t>bottle</t>
        </is>
      </c>
      <c r="H76" s="99" t="inlineStr">
        <is>
          <t>Barista Lead Mark R.</t>
        </is>
      </c>
      <c r="I76" s="98" t="inlineStr">
        <is>
          <t>DEL-SEP02-03</t>
        </is>
      </c>
      <c r="J76" s="99" t="inlineStr">
        <is>
          <t>750 ML</t>
        </is>
      </c>
    </row>
    <row r="77" ht="19" customHeight="1">
      <c r="A77" s="98" t="inlineStr">
        <is>
          <t>TRX-0074</t>
        </is>
      </c>
      <c r="B77" s="98" t="inlineStr">
        <is>
          <t>2026-09-03</t>
        </is>
      </c>
      <c r="C77" s="98" t="inlineStr">
        <is>
          <t>ING-GEN</t>
        </is>
      </c>
      <c r="D77" s="99" t="inlineStr">
        <is>
          <t>Black Thin Straw</t>
        </is>
      </c>
      <c r="E77" s="113" t="inlineStr">
        <is>
          <t>RESTOCK / ADDED (+)</t>
        </is>
      </c>
      <c r="F77" s="114" t="n">
        <v>10</v>
      </c>
      <c r="G77" s="98" t="inlineStr">
        <is>
          <t>packs</t>
        </is>
      </c>
      <c r="H77" s="99" t="inlineStr">
        <is>
          <t>Barista Lead Mark R.</t>
        </is>
      </c>
      <c r="I77" s="98" t="inlineStr">
        <is>
          <t>DEL-SEP03-04</t>
        </is>
      </c>
      <c r="J77" s="99" t="inlineStr">
        <is>
          <t>Supplier delivery replenishment verified</t>
        </is>
      </c>
    </row>
    <row r="78" ht="19" customHeight="1">
      <c r="A78" s="98" t="inlineStr">
        <is>
          <t>TRX-0075</t>
        </is>
      </c>
      <c r="B78" s="98" t="inlineStr">
        <is>
          <t>2026-09-03</t>
        </is>
      </c>
      <c r="C78" s="98" t="inlineStr">
        <is>
          <t>ING-GEN</t>
        </is>
      </c>
      <c r="D78" s="99" t="inlineStr">
        <is>
          <t>Single take out plastic</t>
        </is>
      </c>
      <c r="E78" s="113" t="inlineStr">
        <is>
          <t>RESTOCK / ADDED (+)</t>
        </is>
      </c>
      <c r="F78" s="114" t="n">
        <v>10</v>
      </c>
      <c r="G78" s="98" t="inlineStr">
        <is>
          <t>packs</t>
        </is>
      </c>
      <c r="H78" s="99" t="inlineStr">
        <is>
          <t>Barista Lead Mark R.</t>
        </is>
      </c>
      <c r="I78" s="98" t="inlineStr">
        <is>
          <t>DEL-SEP03-04</t>
        </is>
      </c>
      <c r="J78" s="99" t="inlineStr">
        <is>
          <t>Supplier delivery replenishment verified</t>
        </is>
      </c>
    </row>
    <row r="79" ht="19" customHeight="1">
      <c r="A79" s="98" t="inlineStr">
        <is>
          <t>TRX-0076</t>
        </is>
      </c>
      <c r="B79" s="98" t="inlineStr">
        <is>
          <t>2026-09-03</t>
        </is>
      </c>
      <c r="C79" s="98" t="inlineStr">
        <is>
          <t>ING-GEN</t>
        </is>
      </c>
      <c r="D79" s="99" t="inlineStr">
        <is>
          <t>Double take out plastic</t>
        </is>
      </c>
      <c r="E79" s="113" t="inlineStr">
        <is>
          <t>RESTOCK / ADDED (+)</t>
        </is>
      </c>
      <c r="F79" s="114" t="n">
        <v>10</v>
      </c>
      <c r="G79" s="98" t="inlineStr">
        <is>
          <t>packs</t>
        </is>
      </c>
      <c r="H79" s="99" t="inlineStr">
        <is>
          <t>Barista Lead Mark R.</t>
        </is>
      </c>
      <c r="I79" s="98" t="inlineStr">
        <is>
          <t>DEL-SEP03-04</t>
        </is>
      </c>
      <c r="J79" s="99" t="inlineStr">
        <is>
          <t>Supplier delivery replenishment verified</t>
        </is>
      </c>
    </row>
    <row r="80" ht="19" customHeight="1">
      <c r="A80" s="98" t="inlineStr">
        <is>
          <t>TRX-0077</t>
        </is>
      </c>
      <c r="B80" s="98" t="inlineStr">
        <is>
          <t>2026-09-03</t>
        </is>
      </c>
      <c r="C80" s="98" t="inlineStr">
        <is>
          <t>ING-GEN</t>
        </is>
      </c>
      <c r="D80" s="99" t="inlineStr">
        <is>
          <t>Dom lid Cover for Frappe</t>
        </is>
      </c>
      <c r="E80" s="113" t="inlineStr">
        <is>
          <t>RESTOCK / ADDED (+)</t>
        </is>
      </c>
      <c r="F80" s="114" t="n">
        <v>20</v>
      </c>
      <c r="G80" s="98" t="inlineStr">
        <is>
          <t>packs</t>
        </is>
      </c>
      <c r="H80" s="99" t="inlineStr">
        <is>
          <t>Barista Lead Mark R.</t>
        </is>
      </c>
      <c r="I80" s="98" t="inlineStr">
        <is>
          <t>DEL-SEP03-04</t>
        </is>
      </c>
      <c r="J80" s="99" t="inlineStr">
        <is>
          <t>50 pcs per packs</t>
        </is>
      </c>
    </row>
    <row r="81" ht="22" customHeight="1">
      <c r="A81" s="117" t="inlineStr">
        <is>
          <t>🏆 TOTAL AUDIT TRANSACTIONS LOGGED: 77 Entries</t>
        </is>
      </c>
      <c r="B81" s="118" t="n"/>
      <c r="C81" s="118" t="n"/>
      <c r="D81" s="118" t="n"/>
      <c r="E81" s="118" t="n"/>
      <c r="F81" s="119" t="n"/>
      <c r="G81" s="119" t="n"/>
      <c r="H81" s="119" t="n"/>
      <c r="I81" s="119" t="n"/>
      <c r="J81" s="119" t="n"/>
    </row>
  </sheetData>
  <mergeCells count="3">
    <mergeCell ref="A1:J1"/>
    <mergeCell ref="A81:E8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21"/>
  <sheetViews>
    <sheetView zoomScale="56" zoomScaleNormal="56" workbookViewId="0">
      <pane ySplit="4" topLeftCell="A114" activePane="bottomLeft" state="frozen"/>
      <selection activeCell="A1" sqref="A1"/>
      <selection pane="bottomLeft" activeCell="C142" sqref="C142"/>
    </sheetView>
  </sheetViews>
  <sheetFormatPr baseColWidth="8" defaultColWidth="9" defaultRowHeight="14.5"/>
  <cols>
    <col width="12" customWidth="1" min="1" max="1"/>
    <col width="36" customWidth="1" min="2" max="2"/>
    <col width="18" customWidth="1" min="3" max="3"/>
    <col width="10" customWidth="1" min="4" max="4"/>
    <col width="12" customWidth="1" min="5" max="5"/>
    <col width="16" customWidth="1" min="6" max="8"/>
    <col width="18" customWidth="1" min="9" max="9"/>
  </cols>
  <sheetData>
    <row r="1" ht="36" customHeight="1">
      <c r="A1" s="1" t="inlineStr">
        <is>
          <t>ESPRESSO YOURSELF &amp; TEA HOUSE — PREPARED BEVERAGE INVENTORY &amp; SALES AUDIT</t>
        </is>
      </c>
    </row>
    <row r="2" ht="22" customHeight="1">
      <c r="A2" s="2" t="inlineStr">
        <is>
          <t>Branch #30 (Cebu City)  |  Beginning System Baseline vs Current Stock Now = Sales Units Sold  |  Audit Date: September 22, 2026</t>
        </is>
      </c>
    </row>
    <row r="3" ht="15.25" customHeight="1"/>
    <row r="4" ht="28" customHeight="1">
      <c r="A4" s="3" t="inlineStr">
        <is>
          <t>Product ID</t>
        </is>
      </c>
      <c r="B4" s="3" t="inlineStr">
        <is>
          <t>Beverage / Coffee Name</t>
        </is>
      </c>
      <c r="C4" s="3" t="inlineStr">
        <is>
          <t>Category</t>
        </is>
      </c>
      <c r="D4" s="3" t="inlineStr">
        <is>
          <t>Unit</t>
        </is>
      </c>
      <c r="E4" s="3" t="inlineStr">
        <is>
          <t>Price (₱)</t>
        </is>
      </c>
      <c r="F4" s="3" t="inlineStr">
        <is>
          <t>Beginning Stock
(Baseline)</t>
        </is>
      </c>
      <c r="G4" s="3" t="inlineStr">
        <is>
          <t>★ Stock Now ★
(Current POS)</t>
        </is>
      </c>
      <c r="H4" s="3" t="inlineStr">
        <is>
          <t>Sales (Variance)
(Units Sold)</t>
        </is>
      </c>
      <c r="I4" s="3" t="inlineStr">
        <is>
          <t>Total Sales
Revenue (₱)</t>
        </is>
      </c>
    </row>
    <row r="5" ht="24" customHeight="1">
      <c r="A5" s="4" t="inlineStr">
        <is>
          <t>☕  CATEGORY: HOT COFFEE (37 Beverages)</t>
        </is>
      </c>
    </row>
    <row r="6" ht="20" customHeight="1">
      <c r="A6" s="5" t="inlineStr">
        <is>
          <t>DRK-469</t>
        </is>
      </c>
      <c r="B6" s="6" t="inlineStr">
        <is>
          <t>Hot Americano (Small)</t>
        </is>
      </c>
      <c r="C6" s="7" t="inlineStr">
        <is>
          <t>Hot Coffee</t>
        </is>
      </c>
      <c r="D6" s="8" t="inlineStr">
        <is>
          <t>cups</t>
        </is>
      </c>
      <c r="E6" s="120" t="n">
        <v>99</v>
      </c>
      <c r="F6" s="10" t="n">
        <v>9999</v>
      </c>
      <c r="G6" s="11" t="n">
        <v>9958</v>
      </c>
      <c r="H6" s="12">
        <f>F6-G6</f>
        <v/>
      </c>
      <c r="I6" s="121">
        <f>H6*E6</f>
        <v/>
      </c>
    </row>
    <row r="7" ht="20" customHeight="1">
      <c r="A7" s="14" t="inlineStr">
        <is>
          <t>DRK-477</t>
        </is>
      </c>
      <c r="B7" s="15" t="inlineStr">
        <is>
          <t>Hot Latte (Small)</t>
        </is>
      </c>
      <c r="C7" s="16" t="inlineStr">
        <is>
          <t>Hot Coffee</t>
        </is>
      </c>
      <c r="D7" s="17" t="inlineStr">
        <is>
          <t>cups</t>
        </is>
      </c>
      <c r="E7" s="122" t="n">
        <v>105</v>
      </c>
      <c r="F7" s="19" t="n">
        <v>9999</v>
      </c>
      <c r="G7" s="20" t="n">
        <v>9975</v>
      </c>
      <c r="H7" s="12">
        <f>F7-G7</f>
        <v/>
      </c>
      <c r="I7" s="123">
        <f>H7*E7</f>
        <v/>
      </c>
    </row>
    <row r="8" ht="20" customHeight="1">
      <c r="A8" s="5" t="inlineStr">
        <is>
          <t>DRK-497</t>
        </is>
      </c>
      <c r="B8" s="6" t="inlineStr">
        <is>
          <t>Hot Spanish Latte (Small)</t>
        </is>
      </c>
      <c r="C8" s="7" t="inlineStr">
        <is>
          <t>Hot Coffee</t>
        </is>
      </c>
      <c r="D8" s="8" t="inlineStr">
        <is>
          <t>cups</t>
        </is>
      </c>
      <c r="E8" s="120" t="n">
        <v>105</v>
      </c>
      <c r="F8" s="10" t="n">
        <v>9999</v>
      </c>
      <c r="G8" s="11" t="n">
        <v>9982</v>
      </c>
      <c r="H8" s="22">
        <f>F8-G8</f>
        <v/>
      </c>
      <c r="I8" s="121">
        <f>H8*E8</f>
        <v/>
      </c>
    </row>
    <row r="9" ht="20" customHeight="1">
      <c r="A9" s="14" t="inlineStr">
        <is>
          <t>DRK-501</t>
        </is>
      </c>
      <c r="B9" s="15" t="inlineStr">
        <is>
          <t>Hot Cappuccino (Small)</t>
        </is>
      </c>
      <c r="C9" s="16" t="inlineStr">
        <is>
          <t>Hot Coffee</t>
        </is>
      </c>
      <c r="D9" s="17" t="inlineStr">
        <is>
          <t>cups</t>
        </is>
      </c>
      <c r="E9" s="122" t="n">
        <v>105</v>
      </c>
      <c r="F9" s="19" t="n">
        <v>9999</v>
      </c>
      <c r="G9" s="20" t="n">
        <v>9983</v>
      </c>
      <c r="H9" s="22">
        <f>F9-G9</f>
        <v/>
      </c>
      <c r="I9" s="123">
        <f>H9*E9</f>
        <v/>
      </c>
    </row>
    <row r="10" ht="20" customHeight="1">
      <c r="A10" s="5" t="inlineStr">
        <is>
          <t>DRK-478</t>
        </is>
      </c>
      <c r="B10" s="6" t="inlineStr">
        <is>
          <t>Hot Latte (Large)</t>
        </is>
      </c>
      <c r="C10" s="7" t="inlineStr">
        <is>
          <t>Hot Coffee</t>
        </is>
      </c>
      <c r="D10" s="8" t="inlineStr">
        <is>
          <t>cups</t>
        </is>
      </c>
      <c r="E10" s="120" t="n">
        <v>149</v>
      </c>
      <c r="F10" s="10" t="n">
        <v>9999</v>
      </c>
      <c r="G10" s="11" t="n">
        <v>9983</v>
      </c>
      <c r="H10" s="22">
        <f>F10-G10</f>
        <v/>
      </c>
      <c r="I10" s="121">
        <f>H10*E10</f>
        <v/>
      </c>
    </row>
    <row r="11" ht="20" customHeight="1">
      <c r="A11" s="14" t="inlineStr">
        <is>
          <t>DRK-579</t>
        </is>
      </c>
      <c r="B11" s="15" t="inlineStr">
        <is>
          <t>Hot Choco (Large)</t>
        </is>
      </c>
      <c r="C11" s="16" t="inlineStr">
        <is>
          <t>Hot Coffee</t>
        </is>
      </c>
      <c r="D11" s="17" t="inlineStr">
        <is>
          <t>cups</t>
        </is>
      </c>
      <c r="E11" s="122" t="n">
        <v>149</v>
      </c>
      <c r="F11" s="19" t="n">
        <v>9999</v>
      </c>
      <c r="G11" s="20" t="n">
        <v>9984</v>
      </c>
      <c r="H11" s="22">
        <f>F11-G11</f>
        <v/>
      </c>
      <c r="I11" s="123">
        <f>H11*E11</f>
        <v/>
      </c>
    </row>
    <row r="12" ht="20" customHeight="1">
      <c r="A12" s="5" t="inlineStr">
        <is>
          <t>DRK-482</t>
        </is>
      </c>
      <c r="B12" s="6" t="inlineStr">
        <is>
          <t>Hot Macadamia Latte (Large)</t>
        </is>
      </c>
      <c r="C12" s="7" t="inlineStr">
        <is>
          <t>Hot Coffee</t>
        </is>
      </c>
      <c r="D12" s="8" t="inlineStr">
        <is>
          <t>cups</t>
        </is>
      </c>
      <c r="E12" s="120" t="n">
        <v>149</v>
      </c>
      <c r="F12" s="10" t="n">
        <v>9999</v>
      </c>
      <c r="G12" s="11" t="n">
        <v>9990</v>
      </c>
      <c r="H12" s="22">
        <f>F12-G12</f>
        <v/>
      </c>
      <c r="I12" s="121">
        <f>H12*E12</f>
        <v/>
      </c>
    </row>
    <row r="13" ht="20" customHeight="1">
      <c r="A13" s="14" t="inlineStr">
        <is>
          <t>DRK-473</t>
        </is>
      </c>
      <c r="B13" s="15" t="inlineStr">
        <is>
          <t>Hot Mocha (Small)</t>
        </is>
      </c>
      <c r="C13" s="16" t="inlineStr">
        <is>
          <t>Hot Coffee</t>
        </is>
      </c>
      <c r="D13" s="17" t="inlineStr">
        <is>
          <t>cups</t>
        </is>
      </c>
      <c r="E13" s="122" t="n">
        <v>105</v>
      </c>
      <c r="F13" s="19" t="n">
        <v>9999</v>
      </c>
      <c r="G13" s="20" t="n">
        <v>9992</v>
      </c>
      <c r="H13" s="22">
        <f>F13-G13</f>
        <v/>
      </c>
      <c r="I13" s="123">
        <f>H13*E13</f>
        <v/>
      </c>
    </row>
    <row r="14" ht="20" customHeight="1">
      <c r="A14" s="5" t="inlineStr">
        <is>
          <t>DRK-493</t>
        </is>
      </c>
      <c r="B14" s="6" t="inlineStr">
        <is>
          <t>Hot Caramel Macchiato (Small)</t>
        </is>
      </c>
      <c r="C14" s="7" t="inlineStr">
        <is>
          <t>Hot Coffee</t>
        </is>
      </c>
      <c r="D14" s="8" t="inlineStr">
        <is>
          <t>cups</t>
        </is>
      </c>
      <c r="E14" s="120" t="n">
        <v>105</v>
      </c>
      <c r="F14" s="10" t="n">
        <v>9999</v>
      </c>
      <c r="G14" s="11" t="n">
        <v>9993</v>
      </c>
      <c r="H14" s="22">
        <f>F14-G14</f>
        <v/>
      </c>
      <c r="I14" s="121">
        <f>H14*E14</f>
        <v/>
      </c>
    </row>
    <row r="15" ht="20" customHeight="1">
      <c r="A15" s="14" t="inlineStr">
        <is>
          <t>DRK-578</t>
        </is>
      </c>
      <c r="B15" s="15" t="inlineStr">
        <is>
          <t>Hot Choco (Small)</t>
        </is>
      </c>
      <c r="C15" s="16" t="inlineStr">
        <is>
          <t>Hot Coffee</t>
        </is>
      </c>
      <c r="D15" s="17" t="inlineStr">
        <is>
          <t>cups</t>
        </is>
      </c>
      <c r="E15" s="122" t="n">
        <v>105</v>
      </c>
      <c r="F15" s="19" t="n">
        <v>9999</v>
      </c>
      <c r="G15" s="20" t="n">
        <v>9993</v>
      </c>
      <c r="H15" s="22">
        <f>F15-G15</f>
        <v/>
      </c>
      <c r="I15" s="123">
        <f>H15*E15</f>
        <v/>
      </c>
    </row>
    <row r="16" ht="20" customHeight="1">
      <c r="A16" s="5" t="inlineStr">
        <is>
          <t>DRK-474</t>
        </is>
      </c>
      <c r="B16" s="6" t="inlineStr">
        <is>
          <t>Hot Mocha (Large)</t>
        </is>
      </c>
      <c r="C16" s="7" t="inlineStr">
        <is>
          <t>Hot Coffee</t>
        </is>
      </c>
      <c r="D16" s="8" t="inlineStr">
        <is>
          <t>cups</t>
        </is>
      </c>
      <c r="E16" s="120" t="n">
        <v>149</v>
      </c>
      <c r="F16" s="10" t="n">
        <v>9999</v>
      </c>
      <c r="G16" s="11" t="n">
        <v>9994</v>
      </c>
      <c r="H16" s="22">
        <f>F16-G16</f>
        <v/>
      </c>
      <c r="I16" s="121">
        <f>H16*E16</f>
        <v/>
      </c>
    </row>
    <row r="17" ht="20" customHeight="1">
      <c r="A17" s="14" t="inlineStr">
        <is>
          <t>DRK-502</t>
        </is>
      </c>
      <c r="B17" s="15" t="inlineStr">
        <is>
          <t>Hot Cappuccino (Large)</t>
        </is>
      </c>
      <c r="C17" s="16" t="inlineStr">
        <is>
          <t>Hot Coffee</t>
        </is>
      </c>
      <c r="D17" s="17" t="inlineStr">
        <is>
          <t>cups</t>
        </is>
      </c>
      <c r="E17" s="122" t="n">
        <v>149</v>
      </c>
      <c r="F17" s="19" t="n">
        <v>9999</v>
      </c>
      <c r="G17" s="20" t="n">
        <v>9995</v>
      </c>
      <c r="H17" s="22">
        <f>F17-G17</f>
        <v/>
      </c>
      <c r="I17" s="123">
        <f>H17*E17</f>
        <v/>
      </c>
    </row>
    <row r="18" ht="20" customHeight="1">
      <c r="A18" s="5" t="inlineStr">
        <is>
          <t>DRK-489</t>
        </is>
      </c>
      <c r="B18" s="6" t="inlineStr">
        <is>
          <t>Hot French Vanilla (Small)</t>
        </is>
      </c>
      <c r="C18" s="7" t="inlineStr">
        <is>
          <t>Hot Coffee</t>
        </is>
      </c>
      <c r="D18" s="8" t="inlineStr">
        <is>
          <t>cups</t>
        </is>
      </c>
      <c r="E18" s="120" t="n">
        <v>105</v>
      </c>
      <c r="F18" s="10" t="n">
        <v>9999</v>
      </c>
      <c r="G18" s="11" t="n">
        <v>9995</v>
      </c>
      <c r="H18" s="22">
        <f>F18-G18</f>
        <v/>
      </c>
      <c r="I18" s="121">
        <f>H18*E18</f>
        <v/>
      </c>
    </row>
    <row r="19" ht="20" customHeight="1">
      <c r="A19" s="14" t="inlineStr">
        <is>
          <t>DRK-481</t>
        </is>
      </c>
      <c r="B19" s="15" t="inlineStr">
        <is>
          <t>Hot Macadamia Latte (Small)</t>
        </is>
      </c>
      <c r="C19" s="16" t="inlineStr">
        <is>
          <t>Hot Coffee</t>
        </is>
      </c>
      <c r="D19" s="17" t="inlineStr">
        <is>
          <t>cups</t>
        </is>
      </c>
      <c r="E19" s="122" t="n">
        <v>105</v>
      </c>
      <c r="F19" s="19" t="n">
        <v>9999</v>
      </c>
      <c r="G19" s="20" t="n">
        <v>9995</v>
      </c>
      <c r="H19" s="22">
        <f>F19-G19</f>
        <v/>
      </c>
      <c r="I19" s="123">
        <f>H19*E19</f>
        <v/>
      </c>
    </row>
    <row r="20" ht="20" customHeight="1">
      <c r="A20" s="5" t="inlineStr">
        <is>
          <t>DRK-505</t>
        </is>
      </c>
      <c r="B20" s="6" t="inlineStr">
        <is>
          <t>Hot White Chocolate Latte (Small)</t>
        </is>
      </c>
      <c r="C20" s="7" t="inlineStr">
        <is>
          <t>Hot Coffee</t>
        </is>
      </c>
      <c r="D20" s="8" t="inlineStr">
        <is>
          <t>cups</t>
        </is>
      </c>
      <c r="E20" s="120" t="n">
        <v>105</v>
      </c>
      <c r="F20" s="10" t="n">
        <v>9999</v>
      </c>
      <c r="G20" s="11" t="n">
        <v>9997</v>
      </c>
      <c r="H20" s="22">
        <f>F20-G20</f>
        <v/>
      </c>
      <c r="I20" s="121">
        <f>H20*E20</f>
        <v/>
      </c>
    </row>
    <row r="21" ht="20" customHeight="1">
      <c r="A21" s="14" t="inlineStr">
        <is>
          <t>DRK-506</t>
        </is>
      </c>
      <c r="B21" s="15" t="inlineStr">
        <is>
          <t>Hot White Chocolate Latte (Large)</t>
        </is>
      </c>
      <c r="C21" s="16" t="inlineStr">
        <is>
          <t>Hot Coffee</t>
        </is>
      </c>
      <c r="D21" s="17" t="inlineStr">
        <is>
          <t>cups</t>
        </is>
      </c>
      <c r="E21" s="122" t="n">
        <v>149</v>
      </c>
      <c r="F21" s="19" t="n">
        <v>9999</v>
      </c>
      <c r="G21" s="20" t="n">
        <v>9998</v>
      </c>
      <c r="H21" s="22">
        <f>F21-G21</f>
        <v/>
      </c>
      <c r="I21" s="123">
        <f>H21*E21</f>
        <v/>
      </c>
    </row>
    <row r="22" ht="20" customHeight="1">
      <c r="A22" s="5" t="inlineStr">
        <is>
          <t>DRK-659</t>
        </is>
      </c>
      <c r="B22" s="6" t="inlineStr">
        <is>
          <t>Hot Seasalt Latte (Small)</t>
        </is>
      </c>
      <c r="C22" s="7" t="inlineStr">
        <is>
          <t>Hot Coffee</t>
        </is>
      </c>
      <c r="D22" s="8" t="inlineStr">
        <is>
          <t>cups</t>
        </is>
      </c>
      <c r="E22" s="120" t="n">
        <v>105</v>
      </c>
      <c r="F22" s="10" t="n">
        <v>9999</v>
      </c>
      <c r="G22" s="11" t="n">
        <v>9998</v>
      </c>
      <c r="H22" s="22">
        <f>F22-G22</f>
        <v/>
      </c>
      <c r="I22" s="121">
        <f>H22*E22</f>
        <v/>
      </c>
    </row>
    <row r="23" ht="20" customHeight="1">
      <c r="A23" s="14" t="inlineStr">
        <is>
          <t>DRK-661</t>
        </is>
      </c>
      <c r="B23" s="15" t="inlineStr">
        <is>
          <t>Hot Hazelnut Latte (Small)</t>
        </is>
      </c>
      <c r="C23" s="16" t="inlineStr">
        <is>
          <t>Hot Coffee</t>
        </is>
      </c>
      <c r="D23" s="17" t="inlineStr">
        <is>
          <t>cups</t>
        </is>
      </c>
      <c r="E23" s="122" t="n">
        <v>105</v>
      </c>
      <c r="F23" s="19" t="n">
        <v>9999</v>
      </c>
      <c r="G23" s="20" t="n">
        <v>9998</v>
      </c>
      <c r="H23" s="22">
        <f>F23-G23</f>
        <v/>
      </c>
      <c r="I23" s="123">
        <f>H23*E23</f>
        <v/>
      </c>
    </row>
    <row r="24" ht="20" customHeight="1">
      <c r="A24" s="5" t="inlineStr">
        <is>
          <t>DRK-498</t>
        </is>
      </c>
      <c r="B24" s="6" t="inlineStr">
        <is>
          <t>Hot Spanish Latte (Large)</t>
        </is>
      </c>
      <c r="C24" s="7" t="inlineStr">
        <is>
          <t>Hot Coffee</t>
        </is>
      </c>
      <c r="D24" s="8" t="inlineStr">
        <is>
          <t>cups</t>
        </is>
      </c>
      <c r="E24" s="120" t="n">
        <v>149</v>
      </c>
      <c r="F24" s="10" t="n">
        <v>9999</v>
      </c>
      <c r="G24" s="11" t="n">
        <v>9998</v>
      </c>
      <c r="H24" s="22">
        <f>F24-G24</f>
        <v/>
      </c>
      <c r="I24" s="121">
        <f>H24*E24</f>
        <v/>
      </c>
    </row>
    <row r="25" ht="20" customHeight="1">
      <c r="A25" s="14" t="inlineStr">
        <is>
          <t>DRK-653</t>
        </is>
      </c>
      <c r="B25" s="15" t="inlineStr">
        <is>
          <t>Hot Biscoff Latte (Small)</t>
        </is>
      </c>
      <c r="C25" s="16" t="inlineStr">
        <is>
          <t>Hot Coffee</t>
        </is>
      </c>
      <c r="D25" s="17" t="inlineStr">
        <is>
          <t>cups</t>
        </is>
      </c>
      <c r="E25" s="122" t="n">
        <v>105</v>
      </c>
      <c r="F25" s="19" t="n">
        <v>9999</v>
      </c>
      <c r="G25" s="20" t="n">
        <v>9999</v>
      </c>
      <c r="H25" s="23">
        <f>F25-G25</f>
        <v/>
      </c>
      <c r="I25" s="123">
        <f>H25*E25</f>
        <v/>
      </c>
    </row>
    <row r="26" ht="20" customHeight="1">
      <c r="A26" s="5" t="inlineStr">
        <is>
          <t>DRK-654</t>
        </is>
      </c>
      <c r="B26" s="6" t="inlineStr">
        <is>
          <t>Hot Biscoff Latte (Large)</t>
        </is>
      </c>
      <c r="C26" s="7" t="inlineStr">
        <is>
          <t>Hot Coffee</t>
        </is>
      </c>
      <c r="D26" s="8" t="inlineStr">
        <is>
          <t>cups</t>
        </is>
      </c>
      <c r="E26" s="120" t="n">
        <v>149</v>
      </c>
      <c r="F26" s="10" t="n">
        <v>9999</v>
      </c>
      <c r="G26" s="11" t="n">
        <v>9999</v>
      </c>
      <c r="H26" s="23">
        <f>F26-G26</f>
        <v/>
      </c>
      <c r="I26" s="121">
        <f>H26*E26</f>
        <v/>
      </c>
    </row>
    <row r="27" ht="20" customHeight="1">
      <c r="A27" s="14" t="inlineStr">
        <is>
          <t>DRK-655</t>
        </is>
      </c>
      <c r="B27" s="15" t="inlineStr">
        <is>
          <t>Hot Salted Caramel (Small)</t>
        </is>
      </c>
      <c r="C27" s="16" t="inlineStr">
        <is>
          <t>Hot Coffee</t>
        </is>
      </c>
      <c r="D27" s="17" t="inlineStr">
        <is>
          <t>cups</t>
        </is>
      </c>
      <c r="E27" s="122" t="n">
        <v>105</v>
      </c>
      <c r="F27" s="19" t="n">
        <v>9999</v>
      </c>
      <c r="G27" s="20" t="n">
        <v>9999</v>
      </c>
      <c r="H27" s="23">
        <f>F27-G27</f>
        <v/>
      </c>
      <c r="I27" s="123">
        <f>H27*E27</f>
        <v/>
      </c>
    </row>
    <row r="28" ht="20" customHeight="1">
      <c r="A28" s="5" t="inlineStr">
        <is>
          <t>DRK-656</t>
        </is>
      </c>
      <c r="B28" s="6" t="inlineStr">
        <is>
          <t>Hot Salted Caramel (Large)</t>
        </is>
      </c>
      <c r="C28" s="7" t="inlineStr">
        <is>
          <t>Hot Coffee</t>
        </is>
      </c>
      <c r="D28" s="8" t="inlineStr">
        <is>
          <t>cups</t>
        </is>
      </c>
      <c r="E28" s="120" t="n">
        <v>149</v>
      </c>
      <c r="F28" s="10" t="n">
        <v>9999</v>
      </c>
      <c r="G28" s="11" t="n">
        <v>9999</v>
      </c>
      <c r="H28" s="23">
        <f>F28-G28</f>
        <v/>
      </c>
      <c r="I28" s="121">
        <f>H28*E28</f>
        <v/>
      </c>
    </row>
    <row r="29" ht="20" customHeight="1">
      <c r="A29" s="14" t="inlineStr">
        <is>
          <t>DRK-657</t>
        </is>
      </c>
      <c r="B29" s="15" t="inlineStr">
        <is>
          <t>Hot Affogato (Small)</t>
        </is>
      </c>
      <c r="C29" s="16" t="inlineStr">
        <is>
          <t>Hot Coffee</t>
        </is>
      </c>
      <c r="D29" s="17" t="inlineStr">
        <is>
          <t>cups</t>
        </is>
      </c>
      <c r="E29" s="122" t="n">
        <v>105</v>
      </c>
      <c r="F29" s="19" t="n">
        <v>9999</v>
      </c>
      <c r="G29" s="20" t="n">
        <v>9999</v>
      </c>
      <c r="H29" s="23">
        <f>F29-G29</f>
        <v/>
      </c>
      <c r="I29" s="123">
        <f>H29*E29</f>
        <v/>
      </c>
    </row>
    <row r="30" ht="20" customHeight="1">
      <c r="A30" s="5" t="inlineStr">
        <is>
          <t>DRK-658</t>
        </is>
      </c>
      <c r="B30" s="6" t="inlineStr">
        <is>
          <t>Hot Affogato (Large)</t>
        </is>
      </c>
      <c r="C30" s="7" t="inlineStr">
        <is>
          <t>Hot Coffee</t>
        </is>
      </c>
      <c r="D30" s="8" t="inlineStr">
        <is>
          <t>cups</t>
        </is>
      </c>
      <c r="E30" s="120" t="n">
        <v>149</v>
      </c>
      <c r="F30" s="10" t="n">
        <v>9999</v>
      </c>
      <c r="G30" s="11" t="n">
        <v>9999</v>
      </c>
      <c r="H30" s="23">
        <f>F30-G30</f>
        <v/>
      </c>
      <c r="I30" s="121">
        <f>H30*E30</f>
        <v/>
      </c>
    </row>
    <row r="31" ht="20" customHeight="1">
      <c r="A31" s="14" t="inlineStr">
        <is>
          <t>DRK-660</t>
        </is>
      </c>
      <c r="B31" s="15" t="inlineStr">
        <is>
          <t>Hot Seasalt Latte (Large)</t>
        </is>
      </c>
      <c r="C31" s="16" t="inlineStr">
        <is>
          <t>Hot Coffee</t>
        </is>
      </c>
      <c r="D31" s="17" t="inlineStr">
        <is>
          <t>pcs</t>
        </is>
      </c>
      <c r="E31" s="122" t="n">
        <v>149</v>
      </c>
      <c r="F31" s="19" t="n">
        <v>9999</v>
      </c>
      <c r="G31" s="20" t="n">
        <v>9999</v>
      </c>
      <c r="H31" s="23">
        <f>F31-G31</f>
        <v/>
      </c>
      <c r="I31" s="123">
        <f>H31*E31</f>
        <v/>
      </c>
    </row>
    <row r="32" ht="20" customHeight="1">
      <c r="A32" s="5" t="inlineStr">
        <is>
          <t>DRK-662</t>
        </is>
      </c>
      <c r="B32" s="6" t="inlineStr">
        <is>
          <t>Hot Hazelnut Latte (Large)</t>
        </is>
      </c>
      <c r="C32" s="7" t="inlineStr">
        <is>
          <t>Hot Coffee</t>
        </is>
      </c>
      <c r="D32" s="8" t="inlineStr">
        <is>
          <t>cups</t>
        </is>
      </c>
      <c r="E32" s="120" t="n">
        <v>149</v>
      </c>
      <c r="F32" s="10" t="n">
        <v>9999</v>
      </c>
      <c r="G32" s="11" t="n">
        <v>9999</v>
      </c>
      <c r="H32" s="23">
        <f>F32-G32</f>
        <v/>
      </c>
      <c r="I32" s="121">
        <f>H32*E32</f>
        <v/>
      </c>
    </row>
    <row r="33" ht="20" customHeight="1">
      <c r="A33" s="14" t="inlineStr">
        <is>
          <t>DRK-671</t>
        </is>
      </c>
      <c r="B33" s="15" t="inlineStr">
        <is>
          <t>Hot Dirty Oreo</t>
        </is>
      </c>
      <c r="C33" s="16" t="inlineStr">
        <is>
          <t>Hot Coffee</t>
        </is>
      </c>
      <c r="D33" s="17" t="inlineStr">
        <is>
          <t>cups</t>
        </is>
      </c>
      <c r="E33" s="122" t="n">
        <v>105</v>
      </c>
      <c r="F33" s="19" t="n">
        <v>9999</v>
      </c>
      <c r="G33" s="20" t="n">
        <v>9999</v>
      </c>
      <c r="H33" s="23">
        <f>F33-G33</f>
        <v/>
      </c>
      <c r="I33" s="123">
        <f>H33*E33</f>
        <v/>
      </c>
    </row>
    <row r="34" ht="20" customHeight="1">
      <c r="A34" s="5" t="inlineStr">
        <is>
          <t>DRK-672</t>
        </is>
      </c>
      <c r="B34" s="6" t="inlineStr">
        <is>
          <t>Hot Dirty Oreo</t>
        </is>
      </c>
      <c r="C34" s="7" t="inlineStr">
        <is>
          <t>Hot Coffee</t>
        </is>
      </c>
      <c r="D34" s="8" t="inlineStr">
        <is>
          <t>cups</t>
        </is>
      </c>
      <c r="E34" s="120" t="n">
        <v>149</v>
      </c>
      <c r="F34" s="10" t="n">
        <v>9999</v>
      </c>
      <c r="G34" s="11" t="n">
        <v>9999</v>
      </c>
      <c r="H34" s="23">
        <f>F34-G34</f>
        <v/>
      </c>
      <c r="I34" s="121">
        <f>H34*E34</f>
        <v/>
      </c>
    </row>
    <row r="35" ht="20" customHeight="1">
      <c r="A35" s="14" t="inlineStr">
        <is>
          <t>DRK-673</t>
        </is>
      </c>
      <c r="B35" s="15" t="inlineStr">
        <is>
          <t>Hot Dirty Oreo</t>
        </is>
      </c>
      <c r="C35" s="16" t="inlineStr">
        <is>
          <t>Hot Coffee</t>
        </is>
      </c>
      <c r="D35" s="17" t="inlineStr">
        <is>
          <t>cups</t>
        </is>
      </c>
      <c r="E35" s="122" t="n">
        <v>149</v>
      </c>
      <c r="F35" s="19" t="n">
        <v>9999</v>
      </c>
      <c r="G35" s="20" t="n">
        <v>9999</v>
      </c>
      <c r="H35" s="23">
        <f>F35-G35</f>
        <v/>
      </c>
      <c r="I35" s="123">
        <f>H35*E35</f>
        <v/>
      </c>
    </row>
    <row r="36" ht="20" customHeight="1">
      <c r="A36" s="5" t="inlineStr">
        <is>
          <t>DRK-485</t>
        </is>
      </c>
      <c r="B36" s="6" t="inlineStr">
        <is>
          <t>Hot Butterscotch (Small)</t>
        </is>
      </c>
      <c r="C36" s="7" t="inlineStr">
        <is>
          <t>Hot Coffee</t>
        </is>
      </c>
      <c r="D36" s="8" t="inlineStr">
        <is>
          <t>cups</t>
        </is>
      </c>
      <c r="E36" s="120" t="n">
        <v>105</v>
      </c>
      <c r="F36" s="10" t="n">
        <v>9999</v>
      </c>
      <c r="G36" s="11" t="n">
        <v>9999</v>
      </c>
      <c r="H36" s="23">
        <f>F36-G36</f>
        <v/>
      </c>
      <c r="I36" s="121">
        <f>H36*E36</f>
        <v/>
      </c>
    </row>
    <row r="37" ht="20" customHeight="1">
      <c r="A37" s="14" t="inlineStr">
        <is>
          <t>DRK-486</t>
        </is>
      </c>
      <c r="B37" s="15" t="inlineStr">
        <is>
          <t>Hot Butterscotch (Large)</t>
        </is>
      </c>
      <c r="C37" s="16" t="inlineStr">
        <is>
          <t>Hot Coffee</t>
        </is>
      </c>
      <c r="D37" s="17" t="inlineStr">
        <is>
          <t>cups</t>
        </is>
      </c>
      <c r="E37" s="122" t="n">
        <v>149</v>
      </c>
      <c r="F37" s="19" t="n">
        <v>9999</v>
      </c>
      <c r="G37" s="20" t="n">
        <v>9999</v>
      </c>
      <c r="H37" s="23">
        <f>F37-G37</f>
        <v/>
      </c>
      <c r="I37" s="123">
        <f>H37*E37</f>
        <v/>
      </c>
    </row>
    <row r="38" ht="20" customHeight="1">
      <c r="A38" s="5" t="inlineStr">
        <is>
          <t>DRK-580</t>
        </is>
      </c>
      <c r="B38" s="6" t="inlineStr">
        <is>
          <t>Hot Irish Cream (Small)</t>
        </is>
      </c>
      <c r="C38" s="7" t="inlineStr">
        <is>
          <t>Hot Coffee</t>
        </is>
      </c>
      <c r="D38" s="8" t="inlineStr">
        <is>
          <t>cups</t>
        </is>
      </c>
      <c r="E38" s="120" t="n">
        <v>105</v>
      </c>
      <c r="F38" s="10" t="n">
        <v>9999</v>
      </c>
      <c r="G38" s="11" t="n">
        <v>9999</v>
      </c>
      <c r="H38" s="23">
        <f>F38-G38</f>
        <v/>
      </c>
      <c r="I38" s="121">
        <f>H38*E38</f>
        <v/>
      </c>
    </row>
    <row r="39" ht="20" customHeight="1">
      <c r="A39" s="14" t="inlineStr">
        <is>
          <t>DRK-581</t>
        </is>
      </c>
      <c r="B39" s="15" t="inlineStr">
        <is>
          <t>Hot Irish Cream (Large)</t>
        </is>
      </c>
      <c r="C39" s="16" t="inlineStr">
        <is>
          <t>Hot Coffee</t>
        </is>
      </c>
      <c r="D39" s="17" t="inlineStr">
        <is>
          <t>cups</t>
        </is>
      </c>
      <c r="E39" s="122" t="n">
        <v>149</v>
      </c>
      <c r="F39" s="19" t="n">
        <v>9999</v>
      </c>
      <c r="G39" s="20" t="n">
        <v>9999</v>
      </c>
      <c r="H39" s="23">
        <f>F39-G39</f>
        <v/>
      </c>
      <c r="I39" s="123">
        <f>H39*E39</f>
        <v/>
      </c>
    </row>
    <row r="40" ht="20" customHeight="1">
      <c r="A40" s="5" t="inlineStr">
        <is>
          <t>DRK-470</t>
        </is>
      </c>
      <c r="B40" s="6" t="inlineStr">
        <is>
          <t>Hot Americano (Large)</t>
        </is>
      </c>
      <c r="C40" s="7" t="inlineStr">
        <is>
          <t>Hot Coffee</t>
        </is>
      </c>
      <c r="D40" s="8" t="inlineStr">
        <is>
          <t>cups</t>
        </is>
      </c>
      <c r="E40" s="120" t="n">
        <v>120</v>
      </c>
      <c r="F40" s="10" t="n">
        <v>9999</v>
      </c>
      <c r="G40" s="11" t="n">
        <v>9999</v>
      </c>
      <c r="H40" s="23">
        <f>F40-G40</f>
        <v/>
      </c>
      <c r="I40" s="121">
        <f>H40*E40</f>
        <v/>
      </c>
    </row>
    <row r="41" ht="20" customHeight="1">
      <c r="A41" s="14" t="inlineStr">
        <is>
          <t>DRK-490</t>
        </is>
      </c>
      <c r="B41" s="15" t="inlineStr">
        <is>
          <t>Hot French Vanilla (Large)</t>
        </is>
      </c>
      <c r="C41" s="16" t="inlineStr">
        <is>
          <t>Hot Coffee</t>
        </is>
      </c>
      <c r="D41" s="17" t="inlineStr">
        <is>
          <t>cups</t>
        </is>
      </c>
      <c r="E41" s="122" t="n">
        <v>149</v>
      </c>
      <c r="F41" s="19" t="n">
        <v>9999</v>
      </c>
      <c r="G41" s="20" t="n">
        <v>9999</v>
      </c>
      <c r="H41" s="23">
        <f>F41-G41</f>
        <v/>
      </c>
      <c r="I41" s="123">
        <f>H41*E41</f>
        <v/>
      </c>
    </row>
    <row r="42" ht="20" customHeight="1">
      <c r="A42" s="5" t="inlineStr">
        <is>
          <t>DRK-494</t>
        </is>
      </c>
      <c r="B42" s="6" t="inlineStr">
        <is>
          <t>Hot Caramel Macchiato (Large)</t>
        </is>
      </c>
      <c r="C42" s="7" t="inlineStr">
        <is>
          <t>Hot Coffee</t>
        </is>
      </c>
      <c r="D42" s="8" t="inlineStr">
        <is>
          <t>cups</t>
        </is>
      </c>
      <c r="E42" s="120" t="n">
        <v>149</v>
      </c>
      <c r="F42" s="10" t="n">
        <v>9999</v>
      </c>
      <c r="G42" s="11" t="n">
        <v>9999</v>
      </c>
      <c r="H42" s="23">
        <f>F42-G42</f>
        <v/>
      </c>
      <c r="I42" s="121">
        <f>H42*E42</f>
        <v/>
      </c>
    </row>
    <row r="43" ht="22" customHeight="1">
      <c r="A43" s="24" t="inlineStr">
        <is>
          <t>Subtotal — Hot Coffee Sales:</t>
        </is>
      </c>
      <c r="B43" s="25" t="n"/>
      <c r="C43" s="25" t="n"/>
      <c r="D43" s="25" t="n"/>
      <c r="E43" s="25" t="n"/>
      <c r="F43" s="25" t="n"/>
      <c r="G43" s="25" t="n"/>
      <c r="H43" s="26">
        <f>SUM(H6:H42)</f>
        <v/>
      </c>
      <c r="I43" s="124">
        <f>SUM(I6:I42)</f>
        <v/>
      </c>
    </row>
    <row r="44" ht="24" customHeight="1">
      <c r="A44" s="28" t="inlineStr">
        <is>
          <t>🧊  CATEGORY: ICED &amp; BLENDED (25 Beverages)</t>
        </is>
      </c>
    </row>
    <row r="45" ht="20" customHeight="1">
      <c r="A45" s="14" t="inlineStr">
        <is>
          <t>DRK-583</t>
        </is>
      </c>
      <c r="B45" s="15" t="inlineStr">
        <is>
          <t>Iced Sea Salt Biscoff</t>
        </is>
      </c>
      <c r="C45" s="16" t="inlineStr">
        <is>
          <t>Iced &amp; Blended</t>
        </is>
      </c>
      <c r="D45" s="17" t="inlineStr">
        <is>
          <t>cups</t>
        </is>
      </c>
      <c r="E45" s="122" t="n">
        <v>149</v>
      </c>
      <c r="F45" s="19" t="n">
        <v>9999</v>
      </c>
      <c r="G45" s="20" t="n">
        <v>9890</v>
      </c>
      <c r="H45" s="12">
        <f>F45-G45</f>
        <v/>
      </c>
      <c r="I45" s="123">
        <f>H45*E45</f>
        <v/>
      </c>
    </row>
    <row r="46" ht="20" customHeight="1">
      <c r="A46" s="5" t="inlineStr">
        <is>
          <t>DRK-472</t>
        </is>
      </c>
      <c r="B46" s="6" t="inlineStr">
        <is>
          <t xml:space="preserve">Iced Americano </t>
        </is>
      </c>
      <c r="C46" s="7" t="inlineStr">
        <is>
          <t>Iced &amp; Blended</t>
        </is>
      </c>
      <c r="D46" s="8" t="inlineStr">
        <is>
          <t>cups</t>
        </is>
      </c>
      <c r="E46" s="120" t="n">
        <v>120</v>
      </c>
      <c r="F46" s="10" t="n">
        <v>9999</v>
      </c>
      <c r="G46" s="11" t="n">
        <v>9963</v>
      </c>
      <c r="H46" s="12">
        <f>F46-G46</f>
        <v/>
      </c>
      <c r="I46" s="121">
        <f>H46*E46</f>
        <v/>
      </c>
    </row>
    <row r="47" ht="20" customHeight="1">
      <c r="A47" s="14" t="inlineStr">
        <is>
          <t>DRK-484</t>
        </is>
      </c>
      <c r="B47" s="15" t="inlineStr">
        <is>
          <t>Iced Macadamia Latte (Large)</t>
        </is>
      </c>
      <c r="C47" s="16" t="inlineStr">
        <is>
          <t>Iced &amp; Blended</t>
        </is>
      </c>
      <c r="D47" s="17" t="inlineStr">
        <is>
          <t>cups</t>
        </is>
      </c>
      <c r="E47" s="122" t="n">
        <v>149</v>
      </c>
      <c r="F47" s="19" t="n">
        <v>9999</v>
      </c>
      <c r="G47" s="20" t="n">
        <v>9973</v>
      </c>
      <c r="H47" s="12">
        <f>F47-G47</f>
        <v/>
      </c>
      <c r="I47" s="123">
        <f>H47*E47</f>
        <v/>
      </c>
    </row>
    <row r="48" ht="20" customHeight="1">
      <c r="A48" s="5" t="inlineStr">
        <is>
          <t>DRK-500</t>
        </is>
      </c>
      <c r="B48" s="6" t="inlineStr">
        <is>
          <t>Iced Spanish Latte</t>
        </is>
      </c>
      <c r="C48" s="7" t="inlineStr">
        <is>
          <t>Iced &amp; Blended</t>
        </is>
      </c>
      <c r="D48" s="8" t="inlineStr">
        <is>
          <t>cups</t>
        </is>
      </c>
      <c r="E48" s="120" t="n">
        <v>149</v>
      </c>
      <c r="F48" s="10" t="n">
        <v>9999</v>
      </c>
      <c r="G48" s="11" t="n">
        <v>9975</v>
      </c>
      <c r="H48" s="12">
        <f>F48-G48</f>
        <v/>
      </c>
      <c r="I48" s="121">
        <f>H48*E48</f>
        <v/>
      </c>
    </row>
    <row r="49" ht="20" customHeight="1">
      <c r="A49" s="14" t="inlineStr">
        <is>
          <t>DRK-496</t>
        </is>
      </c>
      <c r="B49" s="15" t="inlineStr">
        <is>
          <t xml:space="preserve">Iced Caramel Macchiato </t>
        </is>
      </c>
      <c r="C49" s="16" t="inlineStr">
        <is>
          <t>Iced &amp; Blended</t>
        </is>
      </c>
      <c r="D49" s="17" t="inlineStr">
        <is>
          <t>cups</t>
        </is>
      </c>
      <c r="E49" s="122" t="n">
        <v>149</v>
      </c>
      <c r="F49" s="19" t="n">
        <v>9999</v>
      </c>
      <c r="G49" s="20" t="n">
        <v>9986</v>
      </c>
      <c r="H49" s="22">
        <f>F49-G49</f>
        <v/>
      </c>
      <c r="I49" s="123">
        <f>H49*E49</f>
        <v/>
      </c>
    </row>
    <row r="50" ht="20" customHeight="1">
      <c r="A50" s="5" t="inlineStr">
        <is>
          <t>DRK-585</t>
        </is>
      </c>
      <c r="B50" s="6" t="inlineStr">
        <is>
          <t>Iced Irish Cream</t>
        </is>
      </c>
      <c r="C50" s="7" t="inlineStr">
        <is>
          <t>Iced &amp; Blended</t>
        </is>
      </c>
      <c r="D50" s="8" t="inlineStr">
        <is>
          <t>cups</t>
        </is>
      </c>
      <c r="E50" s="120" t="n">
        <v>149</v>
      </c>
      <c r="F50" s="10" t="n">
        <v>9999</v>
      </c>
      <c r="G50" s="11" t="n">
        <v>9988</v>
      </c>
      <c r="H50" s="22">
        <f>F50-G50</f>
        <v/>
      </c>
      <c r="I50" s="121">
        <f>H50*E50</f>
        <v/>
      </c>
    </row>
    <row r="51" ht="20" customHeight="1">
      <c r="A51" s="14" t="inlineStr">
        <is>
          <t>DRK-480</t>
        </is>
      </c>
      <c r="B51" s="15" t="inlineStr">
        <is>
          <t>Iced Latte (Large)</t>
        </is>
      </c>
      <c r="C51" s="16" t="inlineStr">
        <is>
          <t>Iced &amp; Blended</t>
        </is>
      </c>
      <c r="D51" s="17" t="inlineStr">
        <is>
          <t>cups</t>
        </is>
      </c>
      <c r="E51" s="122" t="n">
        <v>149</v>
      </c>
      <c r="F51" s="19" t="n">
        <v>9999</v>
      </c>
      <c r="G51" s="20" t="n">
        <v>9989</v>
      </c>
      <c r="H51" s="22">
        <f>F51-G51</f>
        <v/>
      </c>
      <c r="I51" s="123">
        <f>H51*E51</f>
        <v/>
      </c>
    </row>
    <row r="52" ht="20" customHeight="1">
      <c r="A52" s="5" t="inlineStr">
        <is>
          <t>DRK-584</t>
        </is>
      </c>
      <c r="B52" s="6" t="inlineStr">
        <is>
          <t>Iced Oreo Milk</t>
        </is>
      </c>
      <c r="C52" s="7" t="inlineStr">
        <is>
          <t>Iced &amp; Blended</t>
        </is>
      </c>
      <c r="D52" s="8" t="inlineStr">
        <is>
          <t>cups</t>
        </is>
      </c>
      <c r="E52" s="120" t="n">
        <v>149</v>
      </c>
      <c r="F52" s="10" t="n">
        <v>9999</v>
      </c>
      <c r="G52" s="11" t="n">
        <v>9992</v>
      </c>
      <c r="H52" s="22">
        <f>F52-G52</f>
        <v/>
      </c>
      <c r="I52" s="121">
        <f>H52*E52</f>
        <v/>
      </c>
    </row>
    <row r="53" ht="20" customHeight="1">
      <c r="A53" s="14" t="inlineStr">
        <is>
          <t>DRK-476</t>
        </is>
      </c>
      <c r="B53" s="15" t="inlineStr">
        <is>
          <t>Iced Mocha</t>
        </is>
      </c>
      <c r="C53" s="16" t="inlineStr">
        <is>
          <t>Iced &amp; Blended</t>
        </is>
      </c>
      <c r="D53" s="17" t="inlineStr">
        <is>
          <t>cups</t>
        </is>
      </c>
      <c r="E53" s="122" t="n">
        <v>149</v>
      </c>
      <c r="F53" s="19" t="n">
        <v>9999</v>
      </c>
      <c r="G53" s="20" t="n">
        <v>9994</v>
      </c>
      <c r="H53" s="22">
        <f>F53-G53</f>
        <v/>
      </c>
      <c r="I53" s="123">
        <f>H53*E53</f>
        <v/>
      </c>
    </row>
    <row r="54" ht="20" customHeight="1">
      <c r="A54" s="5" t="inlineStr">
        <is>
          <t>DRK-586</t>
        </is>
      </c>
      <c r="B54" s="6" t="inlineStr">
        <is>
          <t>Iced Biscoff Mango</t>
        </is>
      </c>
      <c r="C54" s="7" t="inlineStr">
        <is>
          <t>Iced &amp; Blended</t>
        </is>
      </c>
      <c r="D54" s="8" t="inlineStr">
        <is>
          <t>cups</t>
        </is>
      </c>
      <c r="E54" s="120" t="n">
        <v>149</v>
      </c>
      <c r="F54" s="10" t="n">
        <v>9999</v>
      </c>
      <c r="G54" s="11" t="n">
        <v>9996</v>
      </c>
      <c r="H54" s="22">
        <f>F54-G54</f>
        <v/>
      </c>
      <c r="I54" s="121">
        <f>H54*E54</f>
        <v/>
      </c>
    </row>
    <row r="55" ht="20" customHeight="1">
      <c r="A55" s="14" t="inlineStr">
        <is>
          <t>DRK-582</t>
        </is>
      </c>
      <c r="B55" s="15" t="inlineStr">
        <is>
          <t>Dirty Oreo</t>
        </is>
      </c>
      <c r="C55" s="16" t="inlineStr">
        <is>
          <t>Iced &amp; Blended</t>
        </is>
      </c>
      <c r="D55" s="17" t="inlineStr">
        <is>
          <t>cups</t>
        </is>
      </c>
      <c r="E55" s="122" t="n">
        <v>149</v>
      </c>
      <c r="F55" s="19" t="n">
        <v>9999</v>
      </c>
      <c r="G55" s="20" t="n">
        <v>9997</v>
      </c>
      <c r="H55" s="22">
        <f>F55-G55</f>
        <v/>
      </c>
      <c r="I55" s="123">
        <f>H55*E55</f>
        <v/>
      </c>
    </row>
    <row r="56" ht="20" customHeight="1">
      <c r="A56" s="5" t="inlineStr">
        <is>
          <t>DRK-508</t>
        </is>
      </c>
      <c r="B56" s="6" t="inlineStr">
        <is>
          <t>Iced White Chocolate Latte</t>
        </is>
      </c>
      <c r="C56" s="7" t="inlineStr">
        <is>
          <t>Iced &amp; Blended</t>
        </is>
      </c>
      <c r="D56" s="8" t="inlineStr">
        <is>
          <t>cups</t>
        </is>
      </c>
      <c r="E56" s="120" t="n">
        <v>149</v>
      </c>
      <c r="F56" s="10" t="n">
        <v>9999</v>
      </c>
      <c r="G56" s="11" t="n">
        <v>9998</v>
      </c>
      <c r="H56" s="22">
        <f>F56-G56</f>
        <v/>
      </c>
      <c r="I56" s="121">
        <f>H56*E56</f>
        <v/>
      </c>
    </row>
    <row r="57" ht="20" customHeight="1">
      <c r="A57" s="14" t="inlineStr">
        <is>
          <t>DRK-507</t>
        </is>
      </c>
      <c r="B57" s="15" t="inlineStr">
        <is>
          <t>Iced White Chocolate Latte (Small)</t>
        </is>
      </c>
      <c r="C57" s="16" t="inlineStr">
        <is>
          <t>Iced &amp; Blended</t>
        </is>
      </c>
      <c r="D57" s="17" t="inlineStr">
        <is>
          <t>cups</t>
        </is>
      </c>
      <c r="E57" s="122" t="n">
        <v>105</v>
      </c>
      <c r="F57" s="19" t="n">
        <v>9999</v>
      </c>
      <c r="G57" s="20" t="n">
        <v>9999</v>
      </c>
      <c r="H57" s="23">
        <f>F57-G57</f>
        <v/>
      </c>
      <c r="I57" s="123">
        <f>H57*E57</f>
        <v/>
      </c>
    </row>
    <row r="58" ht="20" customHeight="1">
      <c r="A58" s="5" t="inlineStr">
        <is>
          <t>DRK-471</t>
        </is>
      </c>
      <c r="B58" s="6" t="inlineStr">
        <is>
          <t>Iced Americano (Small)</t>
        </is>
      </c>
      <c r="C58" s="7" t="inlineStr">
        <is>
          <t>Iced &amp; Blended</t>
        </is>
      </c>
      <c r="D58" s="8" t="inlineStr">
        <is>
          <t>cups</t>
        </is>
      </c>
      <c r="E58" s="120" t="n">
        <v>105</v>
      </c>
      <c r="F58" s="10" t="n">
        <v>9999</v>
      </c>
      <c r="G58" s="11" t="n">
        <v>9999</v>
      </c>
      <c r="H58" s="23">
        <f>F58-G58</f>
        <v/>
      </c>
      <c r="I58" s="121">
        <f>H58*E58</f>
        <v/>
      </c>
    </row>
    <row r="59" ht="20" customHeight="1">
      <c r="A59" s="14" t="inlineStr">
        <is>
          <t>DRK-491</t>
        </is>
      </c>
      <c r="B59" s="15" t="inlineStr">
        <is>
          <t>Iced French Vanilla (Small)</t>
        </is>
      </c>
      <c r="C59" s="16" t="inlineStr">
        <is>
          <t>Iced &amp; Blended</t>
        </is>
      </c>
      <c r="D59" s="17" t="inlineStr">
        <is>
          <t>cups</t>
        </is>
      </c>
      <c r="E59" s="122" t="n">
        <v>105</v>
      </c>
      <c r="F59" s="19" t="n">
        <v>9999</v>
      </c>
      <c r="G59" s="20" t="n">
        <v>9999</v>
      </c>
      <c r="H59" s="23">
        <f>F59-G59</f>
        <v/>
      </c>
      <c r="I59" s="123">
        <f>H59*E59</f>
        <v/>
      </c>
    </row>
    <row r="60" ht="20" customHeight="1">
      <c r="A60" s="5" t="inlineStr">
        <is>
          <t>DRK-503</t>
        </is>
      </c>
      <c r="B60" s="6" t="inlineStr">
        <is>
          <t>Iced Cappuccino (Small)</t>
        </is>
      </c>
      <c r="C60" s="7" t="inlineStr">
        <is>
          <t>Iced &amp; Blended</t>
        </is>
      </c>
      <c r="D60" s="8" t="inlineStr">
        <is>
          <t>cups</t>
        </is>
      </c>
      <c r="E60" s="120" t="n">
        <v>105</v>
      </c>
      <c r="F60" s="10" t="n">
        <v>9999</v>
      </c>
      <c r="G60" s="11" t="n">
        <v>9999</v>
      </c>
      <c r="H60" s="23">
        <f>F60-G60</f>
        <v/>
      </c>
      <c r="I60" s="121">
        <f>H60*E60</f>
        <v/>
      </c>
    </row>
    <row r="61" ht="20" customHeight="1">
      <c r="A61" s="14" t="inlineStr">
        <is>
          <t>DRK-475</t>
        </is>
      </c>
      <c r="B61" s="15" t="inlineStr">
        <is>
          <t>Iced Mocha (Small)</t>
        </is>
      </c>
      <c r="C61" s="16" t="inlineStr">
        <is>
          <t>Iced &amp; Blended</t>
        </is>
      </c>
      <c r="D61" s="17" t="inlineStr">
        <is>
          <t>cups</t>
        </is>
      </c>
      <c r="E61" s="122" t="n">
        <v>105</v>
      </c>
      <c r="F61" s="19" t="n">
        <v>9999</v>
      </c>
      <c r="G61" s="20" t="n">
        <v>9999</v>
      </c>
      <c r="H61" s="23">
        <f>F61-G61</f>
        <v/>
      </c>
      <c r="I61" s="123">
        <f>H61*E61</f>
        <v/>
      </c>
    </row>
    <row r="62" ht="20" customHeight="1">
      <c r="A62" s="5" t="inlineStr">
        <is>
          <t>DRK-479</t>
        </is>
      </c>
      <c r="B62" s="6" t="inlineStr">
        <is>
          <t>Iced Latte (Small)</t>
        </is>
      </c>
      <c r="C62" s="7" t="inlineStr">
        <is>
          <t>Iced &amp; Blended</t>
        </is>
      </c>
      <c r="D62" s="8" t="inlineStr">
        <is>
          <t>cups</t>
        </is>
      </c>
      <c r="E62" s="120" t="n">
        <v>105</v>
      </c>
      <c r="F62" s="10" t="n">
        <v>9999</v>
      </c>
      <c r="G62" s="11" t="n">
        <v>9999</v>
      </c>
      <c r="H62" s="23">
        <f>F62-G62</f>
        <v/>
      </c>
      <c r="I62" s="121">
        <f>H62*E62</f>
        <v/>
      </c>
    </row>
    <row r="63" ht="20" customHeight="1">
      <c r="A63" s="14" t="inlineStr">
        <is>
          <t>DRK-487</t>
        </is>
      </c>
      <c r="B63" s="15" t="inlineStr">
        <is>
          <t>Iced Butterscotch (Small)</t>
        </is>
      </c>
      <c r="C63" s="16" t="inlineStr">
        <is>
          <t>Iced &amp; Blended</t>
        </is>
      </c>
      <c r="D63" s="17" t="inlineStr">
        <is>
          <t>cups</t>
        </is>
      </c>
      <c r="E63" s="122" t="n">
        <v>105</v>
      </c>
      <c r="F63" s="19" t="n">
        <v>9999</v>
      </c>
      <c r="G63" s="20" t="n">
        <v>9999</v>
      </c>
      <c r="H63" s="23">
        <f>F63-G63</f>
        <v/>
      </c>
      <c r="I63" s="123">
        <f>H63*E63</f>
        <v/>
      </c>
    </row>
    <row r="64" ht="20" customHeight="1">
      <c r="A64" s="5" t="inlineStr">
        <is>
          <t>DRK-488</t>
        </is>
      </c>
      <c r="B64" s="6" t="inlineStr">
        <is>
          <t>Iced Butterscotch</t>
        </is>
      </c>
      <c r="C64" s="7" t="inlineStr">
        <is>
          <t>Iced &amp; Blended</t>
        </is>
      </c>
      <c r="D64" s="8" t="inlineStr">
        <is>
          <t>cups</t>
        </is>
      </c>
      <c r="E64" s="120" t="n">
        <v>149</v>
      </c>
      <c r="F64" s="10" t="n">
        <v>9999</v>
      </c>
      <c r="G64" s="11" t="n">
        <v>9999</v>
      </c>
      <c r="H64" s="23">
        <f>F64-G64</f>
        <v/>
      </c>
      <c r="I64" s="121">
        <f>H64*E64</f>
        <v/>
      </c>
    </row>
    <row r="65" ht="20" customHeight="1">
      <c r="A65" s="14" t="inlineStr">
        <is>
          <t>DRK-483</t>
        </is>
      </c>
      <c r="B65" s="15" t="inlineStr">
        <is>
          <t>Iced Macadamia Latte (Small)</t>
        </is>
      </c>
      <c r="C65" s="16" t="inlineStr">
        <is>
          <t>Iced &amp; Blended</t>
        </is>
      </c>
      <c r="D65" s="17" t="inlineStr">
        <is>
          <t>cups</t>
        </is>
      </c>
      <c r="E65" s="122" t="n">
        <v>105</v>
      </c>
      <c r="F65" s="19" t="n">
        <v>9999</v>
      </c>
      <c r="G65" s="20" t="n">
        <v>9999</v>
      </c>
      <c r="H65" s="23">
        <f>F65-G65</f>
        <v/>
      </c>
      <c r="I65" s="123">
        <f>H65*E65</f>
        <v/>
      </c>
    </row>
    <row r="66" ht="20" customHeight="1">
      <c r="A66" s="5" t="inlineStr">
        <is>
          <t>DRK-492</t>
        </is>
      </c>
      <c r="B66" s="6" t="inlineStr">
        <is>
          <t xml:space="preserve">Iced French Vanilla </t>
        </is>
      </c>
      <c r="C66" s="7" t="inlineStr">
        <is>
          <t>Iced &amp; Blended</t>
        </is>
      </c>
      <c r="D66" s="8" t="inlineStr">
        <is>
          <t>cups</t>
        </is>
      </c>
      <c r="E66" s="120" t="n">
        <v>149</v>
      </c>
      <c r="F66" s="10" t="n">
        <v>9999</v>
      </c>
      <c r="G66" s="11" t="n">
        <v>9999</v>
      </c>
      <c r="H66" s="23">
        <f>F66-G66</f>
        <v/>
      </c>
      <c r="I66" s="121">
        <f>H66*E66</f>
        <v/>
      </c>
    </row>
    <row r="67" ht="20" customHeight="1">
      <c r="A67" s="14" t="inlineStr">
        <is>
          <t>DRK-495</t>
        </is>
      </c>
      <c r="B67" s="15" t="inlineStr">
        <is>
          <t>Iced Caramel Macchiato (Small)</t>
        </is>
      </c>
      <c r="C67" s="16" t="inlineStr">
        <is>
          <t>Iced &amp; Blended</t>
        </is>
      </c>
      <c r="D67" s="17" t="inlineStr">
        <is>
          <t>cups</t>
        </is>
      </c>
      <c r="E67" s="122" t="n">
        <v>105</v>
      </c>
      <c r="F67" s="19" t="n">
        <v>9999</v>
      </c>
      <c r="G67" s="20" t="n">
        <v>9999</v>
      </c>
      <c r="H67" s="23">
        <f>F67-G67</f>
        <v/>
      </c>
      <c r="I67" s="123">
        <f>H67*E67</f>
        <v/>
      </c>
    </row>
    <row r="68" ht="20" customHeight="1">
      <c r="A68" s="5" t="inlineStr">
        <is>
          <t>DRK-499</t>
        </is>
      </c>
      <c r="B68" s="6" t="inlineStr">
        <is>
          <t>Iced Spanish Latte (Small)</t>
        </is>
      </c>
      <c r="C68" s="7" t="inlineStr">
        <is>
          <t>Iced &amp; Blended</t>
        </is>
      </c>
      <c r="D68" s="8" t="inlineStr">
        <is>
          <t>cups</t>
        </is>
      </c>
      <c r="E68" s="120" t="n">
        <v>105</v>
      </c>
      <c r="F68" s="10" t="n">
        <v>9999</v>
      </c>
      <c r="G68" s="11" t="n">
        <v>9999</v>
      </c>
      <c r="H68" s="23">
        <f>F68-G68</f>
        <v/>
      </c>
      <c r="I68" s="121">
        <f>H68*E68</f>
        <v/>
      </c>
    </row>
    <row r="69" ht="20" customHeight="1">
      <c r="A69" s="14" t="inlineStr">
        <is>
          <t>DRK-504</t>
        </is>
      </c>
      <c r="B69" s="15" t="inlineStr">
        <is>
          <t>Iced Cappuccino</t>
        </is>
      </c>
      <c r="C69" s="16" t="inlineStr">
        <is>
          <t>Iced &amp; Blended</t>
        </is>
      </c>
      <c r="D69" s="17" t="inlineStr">
        <is>
          <t>cups</t>
        </is>
      </c>
      <c r="E69" s="122" t="n">
        <v>149</v>
      </c>
      <c r="F69" s="19" t="n">
        <v>9999</v>
      </c>
      <c r="G69" s="20" t="n">
        <v>9999</v>
      </c>
      <c r="H69" s="23">
        <f>F69-G69</f>
        <v/>
      </c>
      <c r="I69" s="123">
        <f>H69*E69</f>
        <v/>
      </c>
    </row>
    <row r="70" ht="22" customHeight="1">
      <c r="A70" s="24" t="inlineStr">
        <is>
          <t>Subtotal — Iced &amp; Blended Sales:</t>
        </is>
      </c>
      <c r="B70" s="25" t="n"/>
      <c r="C70" s="25" t="n"/>
      <c r="D70" s="25" t="n"/>
      <c r="E70" s="25" t="n"/>
      <c r="F70" s="25" t="n"/>
      <c r="G70" s="25" t="n"/>
      <c r="H70" s="26">
        <f>SUM(H45:H69)</f>
        <v/>
      </c>
      <c r="I70" s="124">
        <f>SUM(I45:I69)</f>
        <v/>
      </c>
    </row>
    <row r="71" ht="24" customHeight="1">
      <c r="A71" s="29" t="inlineStr">
        <is>
          <t>🫧  CATEGORY: SODA BASED (5 Beverages)</t>
        </is>
      </c>
    </row>
    <row r="72" ht="20" customHeight="1">
      <c r="A72" s="5" t="inlineStr">
        <is>
          <t>DRK-510</t>
        </is>
      </c>
      <c r="B72" s="6" t="inlineStr">
        <is>
          <t>Mango (16 oz)</t>
        </is>
      </c>
      <c r="C72" s="7" t="inlineStr">
        <is>
          <t>Soda Based</t>
        </is>
      </c>
      <c r="D72" s="8" t="inlineStr">
        <is>
          <t>cups</t>
        </is>
      </c>
      <c r="E72" s="120" t="n">
        <v>129</v>
      </c>
      <c r="F72" s="10" t="n">
        <v>9999</v>
      </c>
      <c r="G72" s="11" t="n">
        <v>9974</v>
      </c>
      <c r="H72" s="12">
        <f>F72-G72</f>
        <v/>
      </c>
      <c r="I72" s="121">
        <f>H72*E72</f>
        <v/>
      </c>
    </row>
    <row r="73" ht="20" customHeight="1">
      <c r="A73" s="14" t="inlineStr">
        <is>
          <t>DRK-509</t>
        </is>
      </c>
      <c r="B73" s="15" t="inlineStr">
        <is>
          <t>Pink Guava (16 oz)</t>
        </is>
      </c>
      <c r="C73" s="16" t="inlineStr">
        <is>
          <t>Soda Based</t>
        </is>
      </c>
      <c r="D73" s="17" t="inlineStr">
        <is>
          <t>cups</t>
        </is>
      </c>
      <c r="E73" s="122" t="n">
        <v>129</v>
      </c>
      <c r="F73" s="19" t="n">
        <v>9999</v>
      </c>
      <c r="G73" s="20" t="n">
        <v>9976</v>
      </c>
      <c r="H73" s="12">
        <f>F73-G73</f>
        <v/>
      </c>
      <c r="I73" s="123">
        <f>H73*E73</f>
        <v/>
      </c>
    </row>
    <row r="74" ht="20" customHeight="1">
      <c r="A74" s="5" t="inlineStr">
        <is>
          <t>DRK-513</t>
        </is>
      </c>
      <c r="B74" s="6" t="inlineStr">
        <is>
          <t>Pink Guava &amp; Pomegranate (16 oz)</t>
        </is>
      </c>
      <c r="C74" s="7" t="inlineStr">
        <is>
          <t>Soda Based</t>
        </is>
      </c>
      <c r="D74" s="8" t="inlineStr">
        <is>
          <t>cups</t>
        </is>
      </c>
      <c r="E74" s="120" t="n">
        <v>129</v>
      </c>
      <c r="F74" s="10" t="n">
        <v>9999</v>
      </c>
      <c r="G74" s="11" t="n">
        <v>9979</v>
      </c>
      <c r="H74" s="12">
        <f>F74-G74</f>
        <v/>
      </c>
      <c r="I74" s="121">
        <f>H74*E74</f>
        <v/>
      </c>
    </row>
    <row r="75" ht="20" customHeight="1">
      <c r="A75" s="14" t="inlineStr">
        <is>
          <t>DRK-511</t>
        </is>
      </c>
      <c r="B75" s="15" t="inlineStr">
        <is>
          <t>Pomegranate (16 oz)</t>
        </is>
      </c>
      <c r="C75" s="16" t="inlineStr">
        <is>
          <t>Soda Based</t>
        </is>
      </c>
      <c r="D75" s="17" t="inlineStr">
        <is>
          <t>cups</t>
        </is>
      </c>
      <c r="E75" s="122" t="n">
        <v>129</v>
      </c>
      <c r="F75" s="19" t="n">
        <v>9999</v>
      </c>
      <c r="G75" s="20" t="n">
        <v>9991</v>
      </c>
      <c r="H75" s="22">
        <f>F75-G75</f>
        <v/>
      </c>
      <c r="I75" s="123">
        <f>H75*E75</f>
        <v/>
      </c>
    </row>
    <row r="76" ht="20" customHeight="1">
      <c r="A76" s="5" t="inlineStr">
        <is>
          <t>DRK-512</t>
        </is>
      </c>
      <c r="B76" s="6" t="inlineStr">
        <is>
          <t>Lychee (16 oz)</t>
        </is>
      </c>
      <c r="C76" s="7" t="inlineStr">
        <is>
          <t>Soda Based</t>
        </is>
      </c>
      <c r="D76" s="8" t="inlineStr">
        <is>
          <t>cups</t>
        </is>
      </c>
      <c r="E76" s="120" t="n">
        <v>129</v>
      </c>
      <c r="F76" s="10" t="n">
        <v>9999</v>
      </c>
      <c r="G76" s="11" t="n">
        <v>9994</v>
      </c>
      <c r="H76" s="22">
        <f>F76-G76</f>
        <v/>
      </c>
      <c r="I76" s="121">
        <f>H76*E76</f>
        <v/>
      </c>
    </row>
    <row r="77" ht="22" customHeight="1">
      <c r="A77" s="24" t="inlineStr">
        <is>
          <t>Subtotal — Soda Based Sales:</t>
        </is>
      </c>
      <c r="B77" s="25" t="n"/>
      <c r="C77" s="25" t="n"/>
      <c r="D77" s="25" t="n"/>
      <c r="E77" s="25" t="n"/>
      <c r="F77" s="25" t="n"/>
      <c r="G77" s="25" t="n"/>
      <c r="H77" s="26">
        <f>SUM(H72:H76)</f>
        <v/>
      </c>
      <c r="I77" s="124">
        <f>SUM(I72:I76)</f>
        <v/>
      </c>
    </row>
    <row r="78" ht="24" customHeight="1">
      <c r="A78" s="30" t="inlineStr">
        <is>
          <t>🍓  CATEGORY: FRUIT TEAS (6 Beverages)</t>
        </is>
      </c>
    </row>
    <row r="79" ht="20" customHeight="1">
      <c r="A79" s="14" t="inlineStr">
        <is>
          <t>DRK-517</t>
        </is>
      </c>
      <c r="B79" s="15" t="inlineStr">
        <is>
          <t>Pomegranate Tea (16 oz)</t>
        </is>
      </c>
      <c r="C79" s="16" t="inlineStr">
        <is>
          <t>Fruit Teas</t>
        </is>
      </c>
      <c r="D79" s="17" t="inlineStr">
        <is>
          <t>cups</t>
        </is>
      </c>
      <c r="E79" s="122" t="n">
        <v>129</v>
      </c>
      <c r="F79" s="19" t="n">
        <v>9999</v>
      </c>
      <c r="G79" s="20" t="n">
        <v>9995</v>
      </c>
      <c r="H79" s="22">
        <f>F79-G79</f>
        <v/>
      </c>
      <c r="I79" s="123">
        <f>H79*E79</f>
        <v/>
      </c>
    </row>
    <row r="80" ht="20" customHeight="1">
      <c r="A80" s="5" t="inlineStr">
        <is>
          <t>DRK-516</t>
        </is>
      </c>
      <c r="B80" s="6" t="inlineStr">
        <is>
          <t>Mango Tea (16 oz)</t>
        </is>
      </c>
      <c r="C80" s="7" t="inlineStr">
        <is>
          <t>Fruit Teas</t>
        </is>
      </c>
      <c r="D80" s="8" t="inlineStr">
        <is>
          <t>cups</t>
        </is>
      </c>
      <c r="E80" s="120" t="n">
        <v>129</v>
      </c>
      <c r="F80" s="10" t="n">
        <v>9999</v>
      </c>
      <c r="G80" s="11" t="n">
        <v>9996</v>
      </c>
      <c r="H80" s="22">
        <f>F80-G80</f>
        <v/>
      </c>
      <c r="I80" s="121">
        <f>H80*E80</f>
        <v/>
      </c>
    </row>
    <row r="81" ht="20" customHeight="1">
      <c r="A81" s="14" t="inlineStr">
        <is>
          <t>DRK-514</t>
        </is>
      </c>
      <c r="B81" s="15" t="inlineStr">
        <is>
          <t>Lychee Tea (16 oz)</t>
        </is>
      </c>
      <c r="C81" s="16" t="inlineStr">
        <is>
          <t>Fruit Teas</t>
        </is>
      </c>
      <c r="D81" s="17" t="inlineStr">
        <is>
          <t>cups</t>
        </is>
      </c>
      <c r="E81" s="122" t="n">
        <v>129</v>
      </c>
      <c r="F81" s="19" t="n">
        <v>9999</v>
      </c>
      <c r="G81" s="20" t="n">
        <v>9996</v>
      </c>
      <c r="H81" s="22">
        <f>F81-G81</f>
        <v/>
      </c>
      <c r="I81" s="123">
        <f>H81*E81</f>
        <v/>
      </c>
    </row>
    <row r="82" ht="20" customHeight="1">
      <c r="A82" s="5" t="inlineStr">
        <is>
          <t>DRK-518</t>
        </is>
      </c>
      <c r="B82" s="6" t="inlineStr">
        <is>
          <t>Pink Guava &amp; Pomegranate Tea (16 oz)</t>
        </is>
      </c>
      <c r="C82" s="7" t="inlineStr">
        <is>
          <t>Fruit Teas</t>
        </is>
      </c>
      <c r="D82" s="8" t="inlineStr">
        <is>
          <t>cups</t>
        </is>
      </c>
      <c r="E82" s="120" t="n">
        <v>129</v>
      </c>
      <c r="F82" s="10" t="n">
        <v>9999</v>
      </c>
      <c r="G82" s="11" t="n">
        <v>9998</v>
      </c>
      <c r="H82" s="22">
        <f>F82-G82</f>
        <v/>
      </c>
      <c r="I82" s="121">
        <f>H82*E82</f>
        <v/>
      </c>
    </row>
    <row r="83" ht="20" customHeight="1">
      <c r="A83" s="14" t="inlineStr">
        <is>
          <t>DRK-663</t>
        </is>
      </c>
      <c r="B83" s="15" t="inlineStr">
        <is>
          <t>Chamomile Flowers</t>
        </is>
      </c>
      <c r="C83" s="16" t="inlineStr">
        <is>
          <t>Fruit Teas</t>
        </is>
      </c>
      <c r="D83" s="17" t="inlineStr">
        <is>
          <t>cups</t>
        </is>
      </c>
      <c r="E83" s="122" t="n">
        <v>149</v>
      </c>
      <c r="F83" s="19" t="n">
        <v>9999</v>
      </c>
      <c r="G83" s="20" t="n">
        <v>9999</v>
      </c>
      <c r="H83" s="23">
        <f>F83-G83</f>
        <v/>
      </c>
      <c r="I83" s="123">
        <f>H83*E83</f>
        <v/>
      </c>
    </row>
    <row r="84" ht="20" customHeight="1">
      <c r="A84" s="5" t="inlineStr">
        <is>
          <t>DRK-515</t>
        </is>
      </c>
      <c r="B84" s="6" t="inlineStr">
        <is>
          <t>Pink Guava Tea (16 oz)</t>
        </is>
      </c>
      <c r="C84" s="7" t="inlineStr">
        <is>
          <t>Fruit Teas</t>
        </is>
      </c>
      <c r="D84" s="8" t="inlineStr">
        <is>
          <t>cups</t>
        </is>
      </c>
      <c r="E84" s="120" t="n">
        <v>129</v>
      </c>
      <c r="F84" s="10" t="n">
        <v>9999</v>
      </c>
      <c r="G84" s="11" t="n">
        <v>9999</v>
      </c>
      <c r="H84" s="23">
        <f>F84-G84</f>
        <v/>
      </c>
      <c r="I84" s="121">
        <f>H84*E84</f>
        <v/>
      </c>
    </row>
    <row r="85" ht="22" customHeight="1">
      <c r="A85" s="24" t="inlineStr">
        <is>
          <t>Subtotal — Fruit Teas Sales:</t>
        </is>
      </c>
      <c r="B85" s="25" t="n"/>
      <c r="C85" s="25" t="n"/>
      <c r="D85" s="25" t="n"/>
      <c r="E85" s="25" t="n"/>
      <c r="F85" s="25" t="n"/>
      <c r="G85" s="25" t="n"/>
      <c r="H85" s="26">
        <f>SUM(H79:H84)</f>
        <v/>
      </c>
      <c r="I85" s="124">
        <f>SUM(I79:I84)</f>
        <v/>
      </c>
    </row>
    <row r="86" ht="24" customHeight="1">
      <c r="A86" s="31" t="inlineStr">
        <is>
          <t>🍵  CATEGORY: MATCHA SERIES (12 Beverages)</t>
        </is>
      </c>
    </row>
    <row r="87" ht="20" customHeight="1">
      <c r="A87" s="14" t="inlineStr">
        <is>
          <t>DRK-522</t>
        </is>
      </c>
      <c r="B87" s="15" t="inlineStr">
        <is>
          <t>Matcha Seasalt (Large)</t>
        </is>
      </c>
      <c r="C87" s="16" t="inlineStr">
        <is>
          <t>Matcha Series</t>
        </is>
      </c>
      <c r="D87" s="17" t="inlineStr">
        <is>
          <t>cups</t>
        </is>
      </c>
      <c r="E87" s="122" t="n">
        <v>149</v>
      </c>
      <c r="F87" s="19" t="n">
        <v>9999</v>
      </c>
      <c r="G87" s="20" t="n">
        <v>9988</v>
      </c>
      <c r="H87" s="22">
        <f>F87-G87</f>
        <v/>
      </c>
      <c r="I87" s="123">
        <f>H87*E87</f>
        <v/>
      </c>
    </row>
    <row r="88" ht="20" customHeight="1">
      <c r="A88" s="5" t="inlineStr">
        <is>
          <t>DRK-524</t>
        </is>
      </c>
      <c r="B88" s="6" t="inlineStr">
        <is>
          <t>Matcha Latte (Large)</t>
        </is>
      </c>
      <c r="C88" s="7" t="inlineStr">
        <is>
          <t>Matcha Series</t>
        </is>
      </c>
      <c r="D88" s="8" t="inlineStr">
        <is>
          <t>cups</t>
        </is>
      </c>
      <c r="E88" s="120" t="n">
        <v>149</v>
      </c>
      <c r="F88" s="10" t="n">
        <v>9999</v>
      </c>
      <c r="G88" s="11" t="n">
        <v>9992</v>
      </c>
      <c r="H88" s="22">
        <f>F88-G88</f>
        <v/>
      </c>
      <c r="I88" s="121">
        <f>H88*E88</f>
        <v/>
      </c>
    </row>
    <row r="89" ht="20" customHeight="1">
      <c r="A89" s="14" t="inlineStr">
        <is>
          <t>DRK-526</t>
        </is>
      </c>
      <c r="B89" s="15" t="inlineStr">
        <is>
          <t>White Chocolate Matcha (Large)</t>
        </is>
      </c>
      <c r="C89" s="16" t="inlineStr">
        <is>
          <t>Matcha Series</t>
        </is>
      </c>
      <c r="D89" s="17" t="inlineStr">
        <is>
          <t>cups</t>
        </is>
      </c>
      <c r="E89" s="122" t="n">
        <v>149</v>
      </c>
      <c r="F89" s="19" t="n">
        <v>9999</v>
      </c>
      <c r="G89" s="20" t="n">
        <v>9995</v>
      </c>
      <c r="H89" s="22">
        <f>F89-G89</f>
        <v/>
      </c>
      <c r="I89" s="123">
        <f>H89*E89</f>
        <v/>
      </c>
    </row>
    <row r="90" ht="20" customHeight="1">
      <c r="A90" s="5" t="inlineStr">
        <is>
          <t>DRK-528</t>
        </is>
      </c>
      <c r="B90" s="6" t="inlineStr">
        <is>
          <t>Biscoff Matcha (Large)</t>
        </is>
      </c>
      <c r="C90" s="7" t="inlineStr">
        <is>
          <t>Matcha Series</t>
        </is>
      </c>
      <c r="D90" s="8" t="inlineStr">
        <is>
          <t>cups</t>
        </is>
      </c>
      <c r="E90" s="120" t="n">
        <v>149</v>
      </c>
      <c r="F90" s="10" t="n">
        <v>9999</v>
      </c>
      <c r="G90" s="11" t="n">
        <v>9996</v>
      </c>
      <c r="H90" s="22">
        <f>F90-G90</f>
        <v/>
      </c>
      <c r="I90" s="121">
        <f>H90*E90</f>
        <v/>
      </c>
    </row>
    <row r="91" ht="20" customHeight="1">
      <c r="A91" s="14" t="inlineStr">
        <is>
          <t>DRK-589</t>
        </is>
      </c>
      <c r="B91" s="15" t="inlineStr">
        <is>
          <t>Mango Matcha</t>
        </is>
      </c>
      <c r="C91" s="16" t="inlineStr">
        <is>
          <t>Matcha Series</t>
        </is>
      </c>
      <c r="D91" s="17" t="inlineStr">
        <is>
          <t>cups</t>
        </is>
      </c>
      <c r="E91" s="122" t="n">
        <v>149</v>
      </c>
      <c r="F91" s="19" t="n">
        <v>9999</v>
      </c>
      <c r="G91" s="20" t="n">
        <v>9997</v>
      </c>
      <c r="H91" s="22">
        <f>F91-G91</f>
        <v/>
      </c>
      <c r="I91" s="123">
        <f>H91*E91</f>
        <v/>
      </c>
    </row>
    <row r="92" ht="20" customHeight="1">
      <c r="A92" s="5" t="inlineStr">
        <is>
          <t>DRK-674</t>
        </is>
      </c>
      <c r="B92" s="6" t="inlineStr">
        <is>
          <t>Ube Matcha</t>
        </is>
      </c>
      <c r="C92" s="7" t="inlineStr">
        <is>
          <t>Matcha Series</t>
        </is>
      </c>
      <c r="D92" s="8" t="inlineStr">
        <is>
          <t>cups</t>
        </is>
      </c>
      <c r="E92" s="120" t="n">
        <v>149</v>
      </c>
      <c r="F92" s="10" t="n">
        <v>9999</v>
      </c>
      <c r="G92" s="11" t="n">
        <v>9999</v>
      </c>
      <c r="H92" s="23">
        <f>F92-G92</f>
        <v/>
      </c>
      <c r="I92" s="121">
        <f>H92*E92</f>
        <v/>
      </c>
    </row>
    <row r="93" ht="20" customHeight="1">
      <c r="A93" s="14" t="inlineStr">
        <is>
          <t>DRK-521</t>
        </is>
      </c>
      <c r="B93" s="15" t="inlineStr">
        <is>
          <t>Iced Matcha Seasalt (Small)</t>
        </is>
      </c>
      <c r="C93" s="16" t="inlineStr">
        <is>
          <t>Matcha Series</t>
        </is>
      </c>
      <c r="D93" s="17" t="inlineStr">
        <is>
          <t>cups</t>
        </is>
      </c>
      <c r="E93" s="122" t="n">
        <v>105</v>
      </c>
      <c r="F93" s="19" t="n">
        <v>9999</v>
      </c>
      <c r="G93" s="20" t="n">
        <v>9999</v>
      </c>
      <c r="H93" s="23">
        <f>F93-G93</f>
        <v/>
      </c>
      <c r="I93" s="123">
        <f>H93*E93</f>
        <v/>
      </c>
    </row>
    <row r="94" ht="20" customHeight="1">
      <c r="A94" s="5" t="inlineStr">
        <is>
          <t>DRK-523</t>
        </is>
      </c>
      <c r="B94" s="6" t="inlineStr">
        <is>
          <t>Iced Matcha Latte (Small)</t>
        </is>
      </c>
      <c r="C94" s="7" t="inlineStr">
        <is>
          <t>Matcha Series</t>
        </is>
      </c>
      <c r="D94" s="8" t="inlineStr">
        <is>
          <t>cups</t>
        </is>
      </c>
      <c r="E94" s="120" t="n">
        <v>105</v>
      </c>
      <c r="F94" s="10" t="n">
        <v>9999</v>
      </c>
      <c r="G94" s="11" t="n">
        <v>9999</v>
      </c>
      <c r="H94" s="23">
        <f>F94-G94</f>
        <v/>
      </c>
      <c r="I94" s="121">
        <f>H94*E94</f>
        <v/>
      </c>
    </row>
    <row r="95" ht="20" customHeight="1">
      <c r="A95" s="14" t="inlineStr">
        <is>
          <t>DRK-525</t>
        </is>
      </c>
      <c r="B95" s="15" t="inlineStr">
        <is>
          <t>White Chocolate Matcha (Small)</t>
        </is>
      </c>
      <c r="C95" s="16" t="inlineStr">
        <is>
          <t>Matcha Series</t>
        </is>
      </c>
      <c r="D95" s="17" t="inlineStr">
        <is>
          <t>cups</t>
        </is>
      </c>
      <c r="E95" s="122" t="n">
        <v>105</v>
      </c>
      <c r="F95" s="19" t="n">
        <v>9999</v>
      </c>
      <c r="G95" s="20" t="n">
        <v>9999</v>
      </c>
      <c r="H95" s="23">
        <f>F95-G95</f>
        <v/>
      </c>
      <c r="I95" s="123">
        <f>H95*E95</f>
        <v/>
      </c>
    </row>
    <row r="96" ht="20" customHeight="1">
      <c r="A96" s="5" t="inlineStr">
        <is>
          <t>DRK-527</t>
        </is>
      </c>
      <c r="B96" s="6" t="inlineStr">
        <is>
          <t>Biscoff Matcha (Small)</t>
        </is>
      </c>
      <c r="C96" s="7" t="inlineStr">
        <is>
          <t>Matcha Series</t>
        </is>
      </c>
      <c r="D96" s="8" t="inlineStr">
        <is>
          <t>cups</t>
        </is>
      </c>
      <c r="E96" s="120" t="n">
        <v>105</v>
      </c>
      <c r="F96" s="10" t="n">
        <v>9999</v>
      </c>
      <c r="G96" s="11" t="n">
        <v>9999</v>
      </c>
      <c r="H96" s="23">
        <f>F96-G96</f>
        <v/>
      </c>
      <c r="I96" s="121">
        <f>H96*E96</f>
        <v/>
      </c>
    </row>
    <row r="97" ht="20" customHeight="1">
      <c r="A97" s="14" t="inlineStr">
        <is>
          <t>DRK-529</t>
        </is>
      </c>
      <c r="B97" s="15" t="inlineStr">
        <is>
          <t>Dirty Matcha (Small)</t>
        </is>
      </c>
      <c r="C97" s="16" t="inlineStr">
        <is>
          <t>Matcha Series</t>
        </is>
      </c>
      <c r="D97" s="17" t="inlineStr">
        <is>
          <t>cups</t>
        </is>
      </c>
      <c r="E97" s="122" t="n">
        <v>105</v>
      </c>
      <c r="F97" s="19" t="n">
        <v>9999</v>
      </c>
      <c r="G97" s="20" t="n">
        <v>9999</v>
      </c>
      <c r="H97" s="23">
        <f>F97-G97</f>
        <v/>
      </c>
      <c r="I97" s="123">
        <f>H97*E97</f>
        <v/>
      </c>
    </row>
    <row r="98" ht="20" customHeight="1">
      <c r="A98" s="5" t="inlineStr">
        <is>
          <t>DRK-530</t>
        </is>
      </c>
      <c r="B98" s="6" t="inlineStr">
        <is>
          <t>Dirty Matcha (Large)</t>
        </is>
      </c>
      <c r="C98" s="7" t="inlineStr">
        <is>
          <t>Matcha Series</t>
        </is>
      </c>
      <c r="D98" s="8" t="inlineStr">
        <is>
          <t>cups</t>
        </is>
      </c>
      <c r="E98" s="120" t="n">
        <v>149</v>
      </c>
      <c r="F98" s="10" t="n">
        <v>9999</v>
      </c>
      <c r="G98" s="11" t="n">
        <v>9999</v>
      </c>
      <c r="H98" s="23">
        <f>F98-G98</f>
        <v/>
      </c>
      <c r="I98" s="121">
        <f>H98*E98</f>
        <v/>
      </c>
    </row>
    <row r="99" ht="22" customHeight="1">
      <c r="A99" s="24" t="inlineStr">
        <is>
          <t>Subtotal — Matcha Series Sales:</t>
        </is>
      </c>
      <c r="B99" s="25" t="n"/>
      <c r="C99" s="25" t="n"/>
      <c r="D99" s="25" t="n"/>
      <c r="E99" s="25" t="n"/>
      <c r="F99" s="25" t="n"/>
      <c r="G99" s="25" t="n"/>
      <c r="H99" s="26">
        <f>SUM(H87:H98)</f>
        <v/>
      </c>
      <c r="I99" s="124">
        <f>SUM(I87:I98)</f>
        <v/>
      </c>
    </row>
    <row r="100" ht="24" customHeight="1">
      <c r="A100" s="32" t="inlineStr">
        <is>
          <t>🥤  CATEGORY: FRAPPE (7 Beverages)</t>
        </is>
      </c>
    </row>
    <row r="101" ht="20" customHeight="1">
      <c r="A101" s="14" t="inlineStr">
        <is>
          <t>DRK-669</t>
        </is>
      </c>
      <c r="B101" s="15" t="inlineStr">
        <is>
          <t>Frappe Oreo</t>
        </is>
      </c>
      <c r="C101" s="16" t="inlineStr">
        <is>
          <t>Frappe</t>
        </is>
      </c>
      <c r="D101" s="17" t="inlineStr">
        <is>
          <t>cups</t>
        </is>
      </c>
      <c r="E101" s="122" t="n">
        <v>169</v>
      </c>
      <c r="F101" s="19" t="n">
        <v>9999</v>
      </c>
      <c r="G101" s="20" t="n">
        <v>9997</v>
      </c>
      <c r="H101" s="22">
        <f>F101-G101</f>
        <v/>
      </c>
      <c r="I101" s="123">
        <f>H101*E101</f>
        <v/>
      </c>
    </row>
    <row r="102" ht="20" customHeight="1">
      <c r="A102" s="5" t="inlineStr">
        <is>
          <t>DRK-664</t>
        </is>
      </c>
      <c r="B102" s="6" t="inlineStr">
        <is>
          <t xml:space="preserve">Frappe Strawberry </t>
        </is>
      </c>
      <c r="C102" s="7" t="inlineStr">
        <is>
          <t>Frappe</t>
        </is>
      </c>
      <c r="D102" s="8" t="inlineStr">
        <is>
          <t>cups</t>
        </is>
      </c>
      <c r="E102" s="120" t="n">
        <v>169</v>
      </c>
      <c r="F102" s="10" t="n">
        <v>9999</v>
      </c>
      <c r="G102" s="11" t="n">
        <v>9998</v>
      </c>
      <c r="H102" s="22">
        <f>F102-G102</f>
        <v/>
      </c>
      <c r="I102" s="121">
        <f>H102*E102</f>
        <v/>
      </c>
    </row>
    <row r="103" ht="20" customHeight="1">
      <c r="A103" s="14" t="inlineStr">
        <is>
          <t>DRK-665</t>
        </is>
      </c>
      <c r="B103" s="15" t="inlineStr">
        <is>
          <t>Frappe Chocolate</t>
        </is>
      </c>
      <c r="C103" s="16" t="inlineStr">
        <is>
          <t>Frappe</t>
        </is>
      </c>
      <c r="D103" s="17" t="inlineStr">
        <is>
          <t>cups</t>
        </is>
      </c>
      <c r="E103" s="122" t="n">
        <v>169</v>
      </c>
      <c r="F103" s="19" t="n">
        <v>9999</v>
      </c>
      <c r="G103" s="20" t="n">
        <v>9998</v>
      </c>
      <c r="H103" s="22">
        <f>F103-G103</f>
        <v/>
      </c>
      <c r="I103" s="123">
        <f>H103*E103</f>
        <v/>
      </c>
    </row>
    <row r="104" ht="20" customHeight="1">
      <c r="A104" s="5" t="inlineStr">
        <is>
          <t>DRK-667</t>
        </is>
      </c>
      <c r="B104" s="6" t="inlineStr">
        <is>
          <t>Frappe Ube Taro</t>
        </is>
      </c>
      <c r="C104" s="7" t="inlineStr">
        <is>
          <t>Frappe</t>
        </is>
      </c>
      <c r="D104" s="8" t="inlineStr">
        <is>
          <t>cups</t>
        </is>
      </c>
      <c r="E104" s="120" t="n">
        <v>169</v>
      </c>
      <c r="F104" s="10" t="n">
        <v>9999</v>
      </c>
      <c r="G104" s="11" t="n">
        <v>9998</v>
      </c>
      <c r="H104" s="22">
        <f>F104-G104</f>
        <v/>
      </c>
      <c r="I104" s="121">
        <f>H104*E104</f>
        <v/>
      </c>
    </row>
    <row r="105" ht="20" customHeight="1">
      <c r="A105" s="14" t="inlineStr">
        <is>
          <t>DRK-666</t>
        </is>
      </c>
      <c r="B105" s="15" t="inlineStr">
        <is>
          <t>Frappe Macha</t>
        </is>
      </c>
      <c r="C105" s="16" t="inlineStr">
        <is>
          <t>Frappe</t>
        </is>
      </c>
      <c r="D105" s="17" t="inlineStr">
        <is>
          <t>cups</t>
        </is>
      </c>
      <c r="E105" s="122" t="n">
        <v>169</v>
      </c>
      <c r="F105" s="19" t="n">
        <v>9999</v>
      </c>
      <c r="G105" s="20" t="n">
        <v>9999</v>
      </c>
      <c r="H105" s="23">
        <f>F105-G105</f>
        <v/>
      </c>
      <c r="I105" s="123">
        <f>H105*E105</f>
        <v/>
      </c>
    </row>
    <row r="106" ht="20" customHeight="1">
      <c r="A106" s="5" t="inlineStr">
        <is>
          <t>DRK-668</t>
        </is>
      </c>
      <c r="B106" s="6" t="inlineStr">
        <is>
          <t>Frappe Coffee</t>
        </is>
      </c>
      <c r="C106" s="7" t="inlineStr">
        <is>
          <t>Frappe</t>
        </is>
      </c>
      <c r="D106" s="8" t="inlineStr">
        <is>
          <t>cups</t>
        </is>
      </c>
      <c r="E106" s="120" t="n">
        <v>169</v>
      </c>
      <c r="F106" s="10" t="n">
        <v>9999</v>
      </c>
      <c r="G106" s="11" t="n">
        <v>9999</v>
      </c>
      <c r="H106" s="23">
        <f>F106-G106</f>
        <v/>
      </c>
      <c r="I106" s="121">
        <f>H106*E106</f>
        <v/>
      </c>
    </row>
    <row r="107" ht="20" customHeight="1">
      <c r="A107" s="14" t="inlineStr">
        <is>
          <t>DRK-670</t>
        </is>
      </c>
      <c r="B107" s="15" t="inlineStr">
        <is>
          <t>Frappe Vanilla</t>
        </is>
      </c>
      <c r="C107" s="16" t="inlineStr">
        <is>
          <t>Frappe</t>
        </is>
      </c>
      <c r="D107" s="17" t="inlineStr">
        <is>
          <t>cups</t>
        </is>
      </c>
      <c r="E107" s="122" t="n">
        <v>169</v>
      </c>
      <c r="F107" s="19" t="n">
        <v>9999</v>
      </c>
      <c r="G107" s="20" t="n">
        <v>9999</v>
      </c>
      <c r="H107" s="23">
        <f>F107-G107</f>
        <v/>
      </c>
      <c r="I107" s="123">
        <f>H107*E107</f>
        <v/>
      </c>
    </row>
    <row r="108" ht="22" customHeight="1">
      <c r="A108" s="24" t="inlineStr">
        <is>
          <t>Subtotal — Frappe Sales:</t>
        </is>
      </c>
      <c r="B108" s="25" t="n"/>
      <c r="C108" s="25" t="n"/>
      <c r="D108" s="25" t="n"/>
      <c r="E108" s="25" t="n"/>
      <c r="F108" s="25" t="n"/>
      <c r="G108" s="25" t="n"/>
      <c r="H108" s="26">
        <f>SUM(H101:H107)</f>
        <v/>
      </c>
      <c r="I108" s="124">
        <f>SUM(I101:I107)</f>
        <v/>
      </c>
    </row>
    <row r="109" ht="24" customHeight="1">
      <c r="A109" s="33" t="inlineStr">
        <is>
          <t>🫖  CATEGORY: TEA (10 Beverages)</t>
        </is>
      </c>
    </row>
    <row r="110" ht="20" customHeight="1">
      <c r="A110" s="5" t="inlineStr">
        <is>
          <t>DRK-602</t>
        </is>
      </c>
      <c r="B110" s="6" t="inlineStr">
        <is>
          <t xml:space="preserve">Dilmah Earl Grey </t>
        </is>
      </c>
      <c r="C110" s="7" t="inlineStr">
        <is>
          <t>TEA</t>
        </is>
      </c>
      <c r="D110" s="8" t="inlineStr">
        <is>
          <t>bag</t>
        </is>
      </c>
      <c r="E110" s="120" t="n">
        <v>149</v>
      </c>
      <c r="F110" s="10" t="n">
        <v>100</v>
      </c>
      <c r="G110" s="11" t="n">
        <v>91</v>
      </c>
      <c r="H110" s="22">
        <f>F110-G110</f>
        <v/>
      </c>
      <c r="I110" s="121">
        <f>H110*E110</f>
        <v/>
      </c>
    </row>
    <row r="111" ht="20" customHeight="1">
      <c r="A111" s="14" t="inlineStr">
        <is>
          <t>DRK-520</t>
        </is>
      </c>
      <c r="B111" s="15" t="inlineStr">
        <is>
          <t>Hot Black Tea (Small)</t>
        </is>
      </c>
      <c r="C111" s="16" t="inlineStr">
        <is>
          <t>TEA</t>
        </is>
      </c>
      <c r="D111" s="17" t="inlineStr">
        <is>
          <t>cups</t>
        </is>
      </c>
      <c r="E111" s="122" t="n">
        <v>99</v>
      </c>
      <c r="F111" s="19" t="n">
        <v>9999</v>
      </c>
      <c r="G111" s="20" t="n">
        <v>9995</v>
      </c>
      <c r="H111" s="22">
        <f>F111-G111</f>
        <v/>
      </c>
      <c r="I111" s="123">
        <f>H111*E111</f>
        <v/>
      </c>
    </row>
    <row r="112" ht="20" customHeight="1">
      <c r="A112" s="5" t="inlineStr">
        <is>
          <t>DRK-588</t>
        </is>
      </c>
      <c r="B112" s="6" t="inlineStr">
        <is>
          <t>Hot Black Tea (Large)</t>
        </is>
      </c>
      <c r="C112" s="7" t="inlineStr">
        <is>
          <t>TEA</t>
        </is>
      </c>
      <c r="D112" s="8" t="inlineStr">
        <is>
          <t>cups</t>
        </is>
      </c>
      <c r="E112" s="120" t="n">
        <v>129</v>
      </c>
      <c r="F112" s="10" t="n">
        <v>9999</v>
      </c>
      <c r="G112" s="11" t="n">
        <v>9995</v>
      </c>
      <c r="H112" s="22">
        <f>F112-G112</f>
        <v/>
      </c>
      <c r="I112" s="121">
        <f>H112*E112</f>
        <v/>
      </c>
    </row>
    <row r="113" ht="20" customHeight="1">
      <c r="A113" s="14" t="inlineStr">
        <is>
          <t>DRK-605</t>
        </is>
      </c>
      <c r="B113" s="15" t="inlineStr">
        <is>
          <t xml:space="preserve">Dilmah pure peppermint leaves </t>
        </is>
      </c>
      <c r="C113" s="16" t="inlineStr">
        <is>
          <t>TEA</t>
        </is>
      </c>
      <c r="D113" s="17" t="inlineStr">
        <is>
          <t>bag</t>
        </is>
      </c>
      <c r="E113" s="122" t="n">
        <v>149</v>
      </c>
      <c r="F113" s="19" t="n">
        <v>100</v>
      </c>
      <c r="G113" s="20" t="n">
        <v>98</v>
      </c>
      <c r="H113" s="22">
        <f>F113-G113</f>
        <v/>
      </c>
      <c r="I113" s="123">
        <f>H113*E113</f>
        <v/>
      </c>
    </row>
    <row r="114" ht="20" customHeight="1">
      <c r="A114" s="5" t="inlineStr">
        <is>
          <t>DRK-519</t>
        </is>
      </c>
      <c r="B114" s="6" t="inlineStr">
        <is>
          <t>Hot Jasmine Tea (Small)</t>
        </is>
      </c>
      <c r="C114" s="7" t="inlineStr">
        <is>
          <t>TEA</t>
        </is>
      </c>
      <c r="D114" s="8" t="inlineStr">
        <is>
          <t>cups</t>
        </is>
      </c>
      <c r="E114" s="120" t="n">
        <v>99</v>
      </c>
      <c r="F114" s="10" t="n">
        <v>9999</v>
      </c>
      <c r="G114" s="11" t="n">
        <v>9999</v>
      </c>
      <c r="H114" s="23">
        <f>F114-G114</f>
        <v/>
      </c>
      <c r="I114" s="121">
        <f>H114*E114</f>
        <v/>
      </c>
    </row>
    <row r="115" ht="20" customHeight="1">
      <c r="A115" s="14" t="inlineStr">
        <is>
          <t>DRK-603</t>
        </is>
      </c>
      <c r="B115" s="15" t="inlineStr">
        <is>
          <t>Dilmah Pure Chamomile flowers</t>
        </is>
      </c>
      <c r="C115" s="16" t="inlineStr">
        <is>
          <t>TEA</t>
        </is>
      </c>
      <c r="D115" s="17" t="inlineStr">
        <is>
          <t>bag</t>
        </is>
      </c>
      <c r="E115" s="122" t="n">
        <v>149</v>
      </c>
      <c r="F115" s="19" t="n">
        <v>100</v>
      </c>
      <c r="G115" s="20" t="n">
        <v>100</v>
      </c>
      <c r="H115" s="23">
        <f>F115-G115</f>
        <v/>
      </c>
      <c r="I115" s="123">
        <f>H115*E115</f>
        <v/>
      </c>
    </row>
    <row r="116" ht="20" customHeight="1">
      <c r="A116" s="5" t="inlineStr">
        <is>
          <t>DRK-604</t>
        </is>
      </c>
      <c r="B116" s="6" t="inlineStr">
        <is>
          <t xml:space="preserve">Dilmah Traditional oolong tea </t>
        </is>
      </c>
      <c r="C116" s="7" t="inlineStr">
        <is>
          <t>TEA</t>
        </is>
      </c>
      <c r="D116" s="8" t="inlineStr">
        <is>
          <t>bag</t>
        </is>
      </c>
      <c r="E116" s="120" t="n">
        <v>149</v>
      </c>
      <c r="F116" s="10" t="n">
        <v>100</v>
      </c>
      <c r="G116" s="11" t="n">
        <v>100</v>
      </c>
      <c r="H116" s="23">
        <f>F116-G116</f>
        <v/>
      </c>
      <c r="I116" s="121">
        <f>H116*E116</f>
        <v/>
      </c>
    </row>
    <row r="117" ht="20" customHeight="1">
      <c r="A117" s="14" t="inlineStr">
        <is>
          <t>DRK-601</t>
        </is>
      </c>
      <c r="B117" s="15" t="inlineStr">
        <is>
          <t xml:space="preserve">Dilmah Green Tea with Jasmine </t>
        </is>
      </c>
      <c r="C117" s="16" t="inlineStr">
        <is>
          <t>TEA</t>
        </is>
      </c>
      <c r="D117" s="17" t="inlineStr">
        <is>
          <t>bag</t>
        </is>
      </c>
      <c r="E117" s="122" t="n">
        <v>149</v>
      </c>
      <c r="F117" s="19" t="n">
        <v>100</v>
      </c>
      <c r="G117" s="20" t="n">
        <v>100</v>
      </c>
      <c r="H117" s="23">
        <f>F117-G117</f>
        <v/>
      </c>
      <c r="I117" s="123">
        <f>H117*E117</f>
        <v/>
      </c>
    </row>
    <row r="118" ht="20" customHeight="1">
      <c r="A118" s="5" t="inlineStr">
        <is>
          <t>DRK-600</t>
        </is>
      </c>
      <c r="B118" s="6" t="inlineStr">
        <is>
          <t>Dilmah Gourment Green Tea</t>
        </is>
      </c>
      <c r="C118" s="7" t="inlineStr">
        <is>
          <t>TEA</t>
        </is>
      </c>
      <c r="D118" s="8" t="inlineStr">
        <is>
          <t>bag</t>
        </is>
      </c>
      <c r="E118" s="120" t="n">
        <v>149</v>
      </c>
      <c r="F118" s="10" t="n">
        <v>100</v>
      </c>
      <c r="G118" s="11" t="n">
        <v>100</v>
      </c>
      <c r="H118" s="23">
        <f>F118-G118</f>
        <v/>
      </c>
      <c r="I118" s="121">
        <f>H118*E118</f>
        <v/>
      </c>
    </row>
    <row r="119" ht="20" customHeight="1">
      <c r="A119" s="14" t="inlineStr">
        <is>
          <t>DRK-587</t>
        </is>
      </c>
      <c r="B119" s="15" t="inlineStr">
        <is>
          <t>Hot Jasmine Tea (Large)</t>
        </is>
      </c>
      <c r="C119" s="16" t="inlineStr">
        <is>
          <t>TEA</t>
        </is>
      </c>
      <c r="D119" s="17" t="inlineStr">
        <is>
          <t>cups</t>
        </is>
      </c>
      <c r="E119" s="122" t="n">
        <v>129</v>
      </c>
      <c r="F119" s="19" t="n">
        <v>9999</v>
      </c>
      <c r="G119" s="20" t="n">
        <v>9999</v>
      </c>
      <c r="H119" s="23">
        <f>F119-G119</f>
        <v/>
      </c>
      <c r="I119" s="123">
        <f>H119*E119</f>
        <v/>
      </c>
    </row>
    <row r="120" ht="22" customHeight="1">
      <c r="A120" s="24" t="inlineStr">
        <is>
          <t>Subtotal — TEA Sales:</t>
        </is>
      </c>
      <c r="B120" s="25" t="n"/>
      <c r="C120" s="25" t="n"/>
      <c r="D120" s="25" t="n"/>
      <c r="E120" s="25" t="n"/>
      <c r="F120" s="25" t="n"/>
      <c r="G120" s="25" t="n"/>
      <c r="H120" s="26">
        <f>SUM(H110:H119)</f>
        <v/>
      </c>
      <c r="I120" s="124">
        <f>SUM(I110:I119)</f>
        <v/>
      </c>
    </row>
    <row r="121" ht="28" customHeight="1">
      <c r="A121" s="34" t="inlineStr">
        <is>
          <t>🏆 GRAND TOTAL — ALL BEVERAGE SALES:</t>
        </is>
      </c>
      <c r="B121" s="35" t="n"/>
      <c r="C121" s="35" t="n"/>
      <c r="D121" s="35" t="n"/>
      <c r="E121" s="35" t="n"/>
      <c r="F121" s="35" t="n"/>
      <c r="G121" s="35" t="n"/>
      <c r="H121" s="36">
        <f>H43+H70+H77+H85+H99+H108+H120</f>
        <v/>
      </c>
      <c r="I121" s="125">
        <f>I43+I70+I77+I85+I99+I108+I120</f>
        <v/>
      </c>
    </row>
    <row r="122" ht="15.25" customHeight="1"/>
  </sheetData>
  <mergeCells count="17">
    <mergeCell ref="A85:G85"/>
    <mergeCell ref="A2:I2"/>
    <mergeCell ref="A71:I71"/>
    <mergeCell ref="A70:G70"/>
    <mergeCell ref="A5:I5"/>
    <mergeCell ref="A120:G120"/>
    <mergeCell ref="A77:G77"/>
    <mergeCell ref="A44:I44"/>
    <mergeCell ref="A1:I1"/>
    <mergeCell ref="A43:G43"/>
    <mergeCell ref="A78:I78"/>
    <mergeCell ref="A109:I109"/>
    <mergeCell ref="A108:G108"/>
    <mergeCell ref="A100:I100"/>
    <mergeCell ref="A121:G121"/>
    <mergeCell ref="A99:G99"/>
    <mergeCell ref="A86:I86"/>
  </mergeCells>
  <pageMargins left="0.078740157480315" right="0.078740157480315" top="0.078740157480315" bottom="0.078740157480315" header="0.078740157480315" footer="0.078740157480315"/>
  <pageSetup orientation="portrait" paperSize="9" scale="65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2026-09-22T01:57:00Z</dcterms:created>
  <dcterms:modified xsi:type="dcterms:W3CDTF">2026-09-24T07:05:48Z</dcterms:modified>
  <cp:lastModifiedBy>Junrel Ejurango</cp:lastModifiedBy>
  <cp:lastPrinted>2026-09-24T02:04:00Z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EBBC3A27AE4E4728B1380C718141EAA9_12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