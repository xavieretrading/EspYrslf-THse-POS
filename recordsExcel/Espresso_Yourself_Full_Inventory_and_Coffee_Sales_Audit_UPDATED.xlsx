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📋 Complete Inventory Audit" sheetId="1" r:id="rId1"/>
    <sheet name="☕ Beverage Sales &amp; Vari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<sst xmlns="http://schemas.openxmlformats.org/spreadsheetml/2006/main" count="769" uniqueCount="445">
  <si>
    <t>ESPRESSO YOURSELF &amp; TEA HOUSE — COMPREHENSIVE INVENTORY RECONCILIATION</t>
  </si>
  <si>
    <t>SKU / Code</t>
  </si>
  <si>
    <t>Item Description &amp; Specifications</t>
  </si>
  <si>
    <t>UOM</t>
  </si>
  <si>
    <t>Unit Cost (₱)</t>
  </si>
  <si>
    <t>Beginning Stock
(Aug 8)</t>
  </si>
  <si>
    <t>Additional Stock
(Aug 13 - Sept 3)</t>
  </si>
  <si>
    <t>Total Available
Stock</t>
  </si>
  <si>
    <t>Sales</t>
  </si>
  <si>
    <t>Current</t>
  </si>
  <si>
    <t>Actual</t>
  </si>
  <si>
    <t>Variance
(Actual - Current)</t>
  </si>
  <si>
    <t>Audit Status</t>
  </si>
  <si>
    <t>Variance Value
(₱ Discrepancy)</t>
  </si>
  <si>
    <t>📦  1. CUPS &amp; PACKAGING CONSUMABLES</t>
  </si>
  <si>
    <t>PKG-001</t>
  </si>
  <si>
    <t>Plastic Cup 16oz (Cold PET)</t>
  </si>
  <si>
    <t>pcs</t>
  </si>
  <si>
    <t>SURPLUS</t>
  </si>
  <si>
    <t>PKG-002</t>
  </si>
  <si>
    <t>Paper Cup 16oz (Hot Large)</t>
  </si>
  <si>
    <t>PKG-003</t>
  </si>
  <si>
    <t>Paper Cup 8oz (Hot Small)</t>
  </si>
  <si>
    <t>SHORTAGE</t>
  </si>
  <si>
    <t>☕  2. COFFEE BEANS &amp; SPECIALTY ROASTS</t>
  </si>
  <si>
    <t>ING-001</t>
  </si>
  <si>
    <t>Concept Blend 1 (Espresso Beans)</t>
  </si>
  <si>
    <t>pack (1kg)</t>
  </si>
  <si>
    <t>MATCHED</t>
  </si>
  <si>
    <t>ING-002</t>
  </si>
  <si>
    <t>Australia's Own / Artisanal Roast</t>
  </si>
  <si>
    <t>🍯  3. TORANI FLAVOR SYRUPS &amp; PURÉES</t>
  </si>
  <si>
    <t>TOR-001</t>
  </si>
  <si>
    <t>Torani Irish Cream Syrup 750ml</t>
  </si>
  <si>
    <t>bottle</t>
  </si>
  <si>
    <t>TOR-002</t>
  </si>
  <si>
    <t>Torani Salted Caramel Syrup 750ml</t>
  </si>
  <si>
    <t>TOR-003</t>
  </si>
  <si>
    <t>Torani White Chocolate Syrup 750ml</t>
  </si>
  <si>
    <t>500ml</t>
  </si>
  <si>
    <t>TOR-004</t>
  </si>
  <si>
    <t>Torani French Vanilla Syrup 750ml</t>
  </si>
  <si>
    <t>851ml</t>
  </si>
  <si>
    <t>UNMATCHED (Scale Weight)</t>
  </si>
  <si>
    <t>TOR-005</t>
  </si>
  <si>
    <t>Torani Macadamia Nut Syrup 750ml</t>
  </si>
  <si>
    <t>TOR-006</t>
  </si>
  <si>
    <t>Torani Hazelnut Syrup 750ml</t>
  </si>
  <si>
    <t>TOR-007</t>
  </si>
  <si>
    <t>Torani Butterscotch Syrup 750ml</t>
  </si>
  <si>
    <t>TOR-008</t>
  </si>
  <si>
    <t>Torani Pomegranate Syrup 750ml</t>
  </si>
  <si>
    <t>902ml</t>
  </si>
  <si>
    <t>TOR-009</t>
  </si>
  <si>
    <t>Torani Lychee Syrup 750ml</t>
  </si>
  <si>
    <t>955ml</t>
  </si>
  <si>
    <t>TOR-010</t>
  </si>
  <si>
    <t>Torani Caramel Sauce / Syrup (Gallon)</t>
  </si>
  <si>
    <t>gallon</t>
  </si>
  <si>
    <t>TOR-011</t>
  </si>
  <si>
    <t>Torani Mango Purée Blend 1.89L</t>
  </si>
  <si>
    <t>TOR-012</t>
  </si>
  <si>
    <t>Torani Strawberry Purée Blend 1.89L</t>
  </si>
  <si>
    <t>1.77ml</t>
  </si>
  <si>
    <t>✨  4. SHOTT NEW ZEALAND PREMIUM SYRUPS</t>
  </si>
  <si>
    <t>SHT-001</t>
  </si>
  <si>
    <t>SHOTT Pink Guava Syrup 1L</t>
  </si>
  <si>
    <t>bottle (1L)</t>
  </si>
  <si>
    <t>20.7g</t>
  </si>
  <si>
    <t>SHT-002</t>
  </si>
  <si>
    <t>SHOTT Irish Cream Syrup 1L</t>
  </si>
  <si>
    <t>SHT-003</t>
  </si>
  <si>
    <t>SHOTT Mango Syrup 1L</t>
  </si>
  <si>
    <t>95.2g</t>
  </si>
  <si>
    <t>SHT-004</t>
  </si>
  <si>
    <t>SHOTT Macadamia Syrup 1L</t>
  </si>
  <si>
    <t>980g</t>
  </si>
  <si>
    <t>SHT-005</t>
  </si>
  <si>
    <t>SHOTT Vanilla Syrup 1L</t>
  </si>
  <si>
    <t>SHT-006</t>
  </si>
  <si>
    <t>SHOTT Lychee Syrup 1L</t>
  </si>
  <si>
    <t>747g</t>
  </si>
  <si>
    <t>SHT-007</t>
  </si>
  <si>
    <t>SHOTT Pomegranate Syrup 1L</t>
  </si>
  <si>
    <t>🧈  5. CONDIMENTS, SPREADS &amp; MIXES</t>
  </si>
  <si>
    <t>MIX-001</t>
  </si>
  <si>
    <t>Biscoff Sauce Mix (In-House Prep)</t>
  </si>
  <si>
    <t>grams</t>
  </si>
  <si>
    <t>MIX-002</t>
  </si>
  <si>
    <t>Lotus Biscoff Spread Smooth 400g</t>
  </si>
  <si>
    <t>242.3g</t>
  </si>
  <si>
    <t>MIX-003</t>
  </si>
  <si>
    <t>Lotus Biscoff Biscuits (Garnish)</t>
  </si>
  <si>
    <t>MIX-004</t>
  </si>
  <si>
    <t>Sugar Syrup (Hi-Fructose 500ml)</t>
  </si>
  <si>
    <t>bottles</t>
  </si>
  <si>
    <t>324g</t>
  </si>
  <si>
    <t>MIX-005</t>
  </si>
  <si>
    <t>Caramel Mix (Bakersfield Caramel Fudge)</t>
  </si>
  <si>
    <t>MIX-006</t>
  </si>
  <si>
    <t>Doreen Condensed Milk 390g</t>
  </si>
  <si>
    <t>cans</t>
  </si>
  <si>
    <t>295.9g</t>
  </si>
  <si>
    <t>🍃  6. POWDERS &amp; BREWING TEA LEAVES</t>
  </si>
  <si>
    <t>POW-001</t>
  </si>
  <si>
    <t>Oreo Crushed Cookie Crumbs 454g</t>
  </si>
  <si>
    <t>POW-002</t>
  </si>
  <si>
    <t>Easy Cookies &amp; Cream Powder 1kg</t>
  </si>
  <si>
    <t>POW-003</t>
  </si>
  <si>
    <t>Matcha Powder (Pure / Culinary)</t>
  </si>
  <si>
    <t>POW-004</t>
  </si>
  <si>
    <t>Black Tea Leaves (Possmei Assam)</t>
  </si>
  <si>
    <t>POW-005</t>
  </si>
  <si>
    <t>Jasmine Green Tea Leaves (Possmei)</t>
  </si>
  <si>
    <t>POW-006</t>
  </si>
  <si>
    <t>Easy Dark Choco Powder Base 1kg</t>
  </si>
  <si>
    <t>1pack</t>
  </si>
  <si>
    <t>POW-007</t>
  </si>
  <si>
    <t>Artisanal Salted Cream Cheese Powder</t>
  </si>
  <si>
    <t>🍵  7. DILMAH SPECIALTY TEA PACKS</t>
  </si>
  <si>
    <t>DLM-001</t>
  </si>
  <si>
    <t>Dilmah Pure Chamomile Flowers Tea</t>
  </si>
  <si>
    <t>sachets</t>
  </si>
  <si>
    <t>DLM-002</t>
  </si>
  <si>
    <t>Dilmah Earl Grey Tea</t>
  </si>
  <si>
    <t>DLM-003</t>
  </si>
  <si>
    <t>Dilmah Pure Peppermint Leaves Tea</t>
  </si>
  <si>
    <t>DLM-004</t>
  </si>
  <si>
    <t>Dilmah Gourmet Pure Green Tea</t>
  </si>
  <si>
    <t>DLM-005</t>
  </si>
  <si>
    <t>Dilmah Traditional Oolong Tea</t>
  </si>
  <si>
    <t>DLM-006</t>
  </si>
  <si>
    <t>Dilmah Green Tea with Jasmine</t>
  </si>
  <si>
    <t>🥨  8. GRAB-AND-GO RETAIL SNACKS</t>
  </si>
  <si>
    <t>SNK-001</t>
  </si>
  <si>
    <t>Pringles Cheddar Cheese 158g</t>
  </si>
  <si>
    <t>SNK-002</t>
  </si>
  <si>
    <t>Pringles Original 158g</t>
  </si>
  <si>
    <t>SNK-003</t>
  </si>
  <si>
    <t>Pringles Sour Cream &amp; Onion 158g</t>
  </si>
  <si>
    <t>SNK-004</t>
  </si>
  <si>
    <t>Cheetos Cheddar Jalapeño 226.8g</t>
  </si>
  <si>
    <t>packs</t>
  </si>
  <si>
    <t>SNK-005</t>
  </si>
  <si>
    <t>Butter Lover Popcorn Bags</t>
  </si>
  <si>
    <t>bags</t>
  </si>
  <si>
    <t>🥤  9. RETAIL DRINKS, WATER &amp; BEERS</t>
  </si>
  <si>
    <t>BEV-001</t>
  </si>
  <si>
    <t>Coca-Cola Zero Sugar 320ml Can</t>
  </si>
  <si>
    <t>BEV-002</t>
  </si>
  <si>
    <t>Coca-Cola Regular 320ml Can</t>
  </si>
  <si>
    <t>BEV-003</t>
  </si>
  <si>
    <t>Sprite Soda 320ml Can</t>
  </si>
  <si>
    <t>BEV-004</t>
  </si>
  <si>
    <t>Sprite 1.5L Bottle (Bar Mixer)</t>
  </si>
  <si>
    <t>1.348g</t>
  </si>
  <si>
    <t>BEV-005</t>
  </si>
  <si>
    <t>Nature Spring Mineral Water 500ml</t>
  </si>
  <si>
    <t>BEV-006</t>
  </si>
  <si>
    <t>Nature Spring Mineral Water 1L</t>
  </si>
  <si>
    <t>BEV-007</t>
  </si>
  <si>
    <t>Red Horse Stallion Beer 330ml</t>
  </si>
  <si>
    <t>BEV-008</t>
  </si>
  <si>
    <t>San Miguel Pale Pilsen 320ml</t>
  </si>
  <si>
    <t>BEV-009</t>
  </si>
  <si>
    <t>San Mig Light - Apple 330ml</t>
  </si>
  <si>
    <t>BEV-010</t>
  </si>
  <si>
    <t>Evian Natural Spring Water 500ml</t>
  </si>
  <si>
    <t>BEV-011</t>
  </si>
  <si>
    <t>Perrier Sparkling Mineral Water 330ml</t>
  </si>
  <si>
    <t>Requested Items</t>
  </si>
  <si>
    <t>Count</t>
  </si>
  <si>
    <t>Requested Item</t>
  </si>
  <si>
    <t>Desisyon</t>
  </si>
  <si>
    <t>Coffee Beans</t>
  </si>
  <si>
    <t>10packs</t>
  </si>
  <si>
    <t>Yes</t>
  </si>
  <si>
    <t>5 x 1.5L</t>
  </si>
  <si>
    <t>20g</t>
  </si>
  <si>
    <t>1L</t>
  </si>
  <si>
    <t xml:space="preserve">Created 44 cups </t>
  </si>
  <si>
    <t xml:space="preserve">Lotus Biscoff Biscuits </t>
  </si>
  <si>
    <t>2 packs</t>
  </si>
  <si>
    <t>115cups sold</t>
  </si>
  <si>
    <t>Lotus Biscoff Spread</t>
  </si>
  <si>
    <t>2 bottles</t>
  </si>
  <si>
    <t>Cream cheese powder</t>
  </si>
  <si>
    <t>2  packs</t>
  </si>
  <si>
    <t xml:space="preserve">Sugar Syrup </t>
  </si>
  <si>
    <t>10 bottles</t>
  </si>
  <si>
    <t>frappe powder vanilla</t>
  </si>
  <si>
    <t>1 pack</t>
  </si>
  <si>
    <t>new item</t>
  </si>
  <si>
    <t>frappe powder strawberry</t>
  </si>
  <si>
    <t>whipping cream powder</t>
  </si>
  <si>
    <t xml:space="preserve">matcha powder </t>
  </si>
  <si>
    <t>66.9 g</t>
  </si>
  <si>
    <t>5 packs</t>
  </si>
  <si>
    <t>1 pack = 100g</t>
  </si>
  <si>
    <t>last sales 31cups sold of matcha series in 300g</t>
  </si>
  <si>
    <t>Pringles Sour Cream</t>
  </si>
  <si>
    <t>3 tab</t>
  </si>
  <si>
    <t>All have been sold</t>
  </si>
  <si>
    <t>muffin assorted and chocolate</t>
  </si>
  <si>
    <t xml:space="preserve"> 3 pulled out expired but the rest sold  </t>
  </si>
  <si>
    <t xml:space="preserve">tissue </t>
  </si>
  <si>
    <t>ensaymada</t>
  </si>
  <si>
    <t>crinkles</t>
  </si>
  <si>
    <t>ESPRESSO YOURSELF &amp; TEA HOUSE — PREPARED BEVERAGE INVENTORY &amp; SALES AUDIT</t>
  </si>
  <si>
    <t>Branch #30 (Cebu City)  |  Beginning System Baseline vs Current Stock Now = Sales Units Sold  |  Audit Date: September 22, 2026</t>
  </si>
  <si>
    <t>Product ID</t>
  </si>
  <si>
    <t>Beverage / Coffee Name</t>
  </si>
  <si>
    <t>Category</t>
  </si>
  <si>
    <t>Unit</t>
  </si>
  <si>
    <t>Price (₱)</t>
  </si>
  <si>
    <t>Beginning Stock
(Baseline)</t>
  </si>
  <si>
    <t>★ Stock Now ★
(Current POS)</t>
  </si>
  <si>
    <t>Sales (Variance)
(Units Sold)</t>
  </si>
  <si>
    <t>Total Sales
Revenue (₱)</t>
  </si>
  <si>
    <t>☕  CATEGORY: HOT COFFEE (37 Beverages)</t>
  </si>
  <si>
    <t>DRK-469</t>
  </si>
  <si>
    <t>Hot Americano (Small)</t>
  </si>
  <si>
    <t>Hot Coffee</t>
  </si>
  <si>
    <t>cups</t>
  </si>
  <si>
    <t>DRK-477</t>
  </si>
  <si>
    <t>Hot Latte (Small)</t>
  </si>
  <si>
    <t>DRK-497</t>
  </si>
  <si>
    <t>Hot Spanish Latte (Small)</t>
  </si>
  <si>
    <t>DRK-501</t>
  </si>
  <si>
    <t>Hot Cappuccino (Small)</t>
  </si>
  <si>
    <t>DRK-478</t>
  </si>
  <si>
    <t>Hot Latte (Large)</t>
  </si>
  <si>
    <t>DRK-579</t>
  </si>
  <si>
    <t>Hot Choco (Large)</t>
  </si>
  <si>
    <t>DRK-482</t>
  </si>
  <si>
    <t>Hot Macadamia Latte (Large)</t>
  </si>
  <si>
    <t>DRK-473</t>
  </si>
  <si>
    <t>Hot Mocha (Small)</t>
  </si>
  <si>
    <t>DRK-493</t>
  </si>
  <si>
    <t>Hot Caramel Macchiato (Small)</t>
  </si>
  <si>
    <t>DRK-578</t>
  </si>
  <si>
    <t>Hot Choco (Small)</t>
  </si>
  <si>
    <t>DRK-474</t>
  </si>
  <si>
    <t>Hot Mocha (Large)</t>
  </si>
  <si>
    <t>DRK-502</t>
  </si>
  <si>
    <t>Hot Cappuccino (Large)</t>
  </si>
  <si>
    <t>DRK-489</t>
  </si>
  <si>
    <t>Hot French Vanilla (Small)</t>
  </si>
  <si>
    <t>DRK-481</t>
  </si>
  <si>
    <t>Hot Macadamia Latte (Small)</t>
  </si>
  <si>
    <t>DRK-505</t>
  </si>
  <si>
    <t>Hot White Chocolate Latte (Small)</t>
  </si>
  <si>
    <t>DRK-506</t>
  </si>
  <si>
    <t>Hot White Chocolate Latte (Large)</t>
  </si>
  <si>
    <t>DRK-659</t>
  </si>
  <si>
    <t>Hot Seasalt Latte (Small)</t>
  </si>
  <si>
    <t>DRK-661</t>
  </si>
  <si>
    <t>Hot Hazelnut Latte (Small)</t>
  </si>
  <si>
    <t>DRK-498</t>
  </si>
  <si>
    <t>Hot Spanish Latte (Large)</t>
  </si>
  <si>
    <t>DRK-653</t>
  </si>
  <si>
    <t>Hot Biscoff Latte (Small)</t>
  </si>
  <si>
    <t>DRK-654</t>
  </si>
  <si>
    <t>Hot Biscoff Latte (Large)</t>
  </si>
  <si>
    <t>DRK-655</t>
  </si>
  <si>
    <t>Hot Salted Caramel (Small)</t>
  </si>
  <si>
    <t>DRK-656</t>
  </si>
  <si>
    <t>Hot Salted Caramel (Large)</t>
  </si>
  <si>
    <t>DRK-657</t>
  </si>
  <si>
    <t>Hot Affogato (Small)</t>
  </si>
  <si>
    <t>DRK-658</t>
  </si>
  <si>
    <t>Hot Affogato (Large)</t>
  </si>
  <si>
    <t>DRK-660</t>
  </si>
  <si>
    <t>Hot Seasalt Latte (Large)</t>
  </si>
  <si>
    <t>DRK-662</t>
  </si>
  <si>
    <t>Hot Hazelnut Latte (Large)</t>
  </si>
  <si>
    <t>DRK-671</t>
  </si>
  <si>
    <t>Hot Dirty Oreo</t>
  </si>
  <si>
    <t>DRK-672</t>
  </si>
  <si>
    <t>DRK-673</t>
  </si>
  <si>
    <t>DRK-485</t>
  </si>
  <si>
    <t>Hot Butterscotch (Small)</t>
  </si>
  <si>
    <t>DRK-486</t>
  </si>
  <si>
    <t>Hot Butterscotch (Large)</t>
  </si>
  <si>
    <t>DRK-580</t>
  </si>
  <si>
    <t>Hot Irish Cream (Small)</t>
  </si>
  <si>
    <t>DRK-581</t>
  </si>
  <si>
    <t>Hot Irish Cream (Large)</t>
  </si>
  <si>
    <t>DRK-470</t>
  </si>
  <si>
    <t>Hot Americano (Large)</t>
  </si>
  <si>
    <t>DRK-490</t>
  </si>
  <si>
    <t>Hot French Vanilla (Large)</t>
  </si>
  <si>
    <t>DRK-494</t>
  </si>
  <si>
    <t>Hot Caramel Macchiato (Large)</t>
  </si>
  <si>
    <t>Subtotal — Hot Coffee Sales:</t>
  </si>
  <si>
    <t>🧊  CATEGORY: ICED &amp; BLENDED (25 Beverages)</t>
  </si>
  <si>
    <t>DRK-583</t>
  </si>
  <si>
    <t>Iced Sea Salt Biscoff</t>
  </si>
  <si>
    <t>Iced &amp; Blended</t>
  </si>
  <si>
    <t>DRK-472</t>
  </si>
  <si>
    <t xml:space="preserve">Iced Americano </t>
  </si>
  <si>
    <t>DRK-484</t>
  </si>
  <si>
    <t>Iced Macadamia Latte (Large)</t>
  </si>
  <si>
    <t>DRK-500</t>
  </si>
  <si>
    <t>Iced Spanish Latte</t>
  </si>
  <si>
    <t>DRK-496</t>
  </si>
  <si>
    <t xml:space="preserve">Iced Caramel Macchiato </t>
  </si>
  <si>
    <t>DRK-585</t>
  </si>
  <si>
    <t>Iced Irish Cream</t>
  </si>
  <si>
    <t>DRK-480</t>
  </si>
  <si>
    <t>Iced Latte (Large)</t>
  </si>
  <si>
    <t>DRK-584</t>
  </si>
  <si>
    <t>Iced Oreo Milk</t>
  </si>
  <si>
    <t>DRK-476</t>
  </si>
  <si>
    <t>Iced Mocha</t>
  </si>
  <si>
    <t>DRK-586</t>
  </si>
  <si>
    <t>Iced Biscoff Mango</t>
  </si>
  <si>
    <t>DRK-582</t>
  </si>
  <si>
    <t>Dirty Oreo</t>
  </si>
  <si>
    <t>DRK-508</t>
  </si>
  <si>
    <t>Iced White Chocolate Latte</t>
  </si>
  <si>
    <t>DRK-507</t>
  </si>
  <si>
    <t>Iced White Chocolate Latte (Small)</t>
  </si>
  <si>
    <t>DRK-471</t>
  </si>
  <si>
    <t>Iced Americano (Small)</t>
  </si>
  <si>
    <t>DRK-491</t>
  </si>
  <si>
    <t>Iced French Vanilla (Small)</t>
  </si>
  <si>
    <t>DRK-503</t>
  </si>
  <si>
    <t>Iced Cappuccino (Small)</t>
  </si>
  <si>
    <t>DRK-475</t>
  </si>
  <si>
    <t>Iced Mocha (Small)</t>
  </si>
  <si>
    <t>DRK-479</t>
  </si>
  <si>
    <t>Iced Latte (Small)</t>
  </si>
  <si>
    <t>DRK-487</t>
  </si>
  <si>
    <t>Iced Butterscotch (Small)</t>
  </si>
  <si>
    <t>DRK-488</t>
  </si>
  <si>
    <t>Iced Butterscotch</t>
  </si>
  <si>
    <t>DRK-483</t>
  </si>
  <si>
    <t>Iced Macadamia Latte (Small)</t>
  </si>
  <si>
    <t>DRK-492</t>
  </si>
  <si>
    <t xml:space="preserve">Iced French Vanilla </t>
  </si>
  <si>
    <t>DRK-495</t>
  </si>
  <si>
    <t>Iced Caramel Macchiato (Small)</t>
  </si>
  <si>
    <t>DRK-499</t>
  </si>
  <si>
    <t>Iced Spanish Latte (Small)</t>
  </si>
  <si>
    <t>DRK-504</t>
  </si>
  <si>
    <t>Iced Cappuccino</t>
  </si>
  <si>
    <t>Subtotal — Iced &amp; Blended Sales:</t>
  </si>
  <si>
    <t>🫧  CATEGORY: SODA BASED (5 Beverages)</t>
  </si>
  <si>
    <t>DRK-510</t>
  </si>
  <si>
    <t>Mango (16 oz)</t>
  </si>
  <si>
    <t>Soda Based</t>
  </si>
  <si>
    <t>DRK-509</t>
  </si>
  <si>
    <t>Pink Guava (16 oz)</t>
  </si>
  <si>
    <t>DRK-513</t>
  </si>
  <si>
    <t>Pink Guava &amp; Pomegranate (16 oz)</t>
  </si>
  <si>
    <t>DRK-511</t>
  </si>
  <si>
    <t>Pomegranate (16 oz)</t>
  </si>
  <si>
    <t>DRK-512</t>
  </si>
  <si>
    <t>Lychee (16 oz)</t>
  </si>
  <si>
    <t>Subtotal — Soda Based Sales:</t>
  </si>
  <si>
    <t>🍓  CATEGORY: FRUIT TEAS (6 Beverages)</t>
  </si>
  <si>
    <t>DRK-517</t>
  </si>
  <si>
    <t>Pomegranate Tea (16 oz)</t>
  </si>
  <si>
    <t>Fruit Teas</t>
  </si>
  <si>
    <t>DRK-516</t>
  </si>
  <si>
    <t>Mango Tea (16 oz)</t>
  </si>
  <si>
    <t>DRK-514</t>
  </si>
  <si>
    <t>Lychee Tea (16 oz)</t>
  </si>
  <si>
    <t>DRK-518</t>
  </si>
  <si>
    <t>Pink Guava &amp; Pomegranate Tea (16 oz)</t>
  </si>
  <si>
    <t>DRK-663</t>
  </si>
  <si>
    <t>Chamomile Flowers</t>
  </si>
  <si>
    <t>DRK-515</t>
  </si>
  <si>
    <t>Pink Guava Tea (16 oz)</t>
  </si>
  <si>
    <t>Subtotal — Fruit Teas Sales:</t>
  </si>
  <si>
    <t>🍵  CATEGORY: MATCHA SERIES (12 Beverages)</t>
  </si>
  <si>
    <t>DRK-522</t>
  </si>
  <si>
    <t>Matcha Seasalt (Large)</t>
  </si>
  <si>
    <t>Matcha Series</t>
  </si>
  <si>
    <t>DRK-524</t>
  </si>
  <si>
    <t>Matcha Latte (Large)</t>
  </si>
  <si>
    <t>DRK-526</t>
  </si>
  <si>
    <t>White Chocolate Matcha (Large)</t>
  </si>
  <si>
    <t>DRK-528</t>
  </si>
  <si>
    <t>Biscoff Matcha (Large)</t>
  </si>
  <si>
    <t>DRK-589</t>
  </si>
  <si>
    <t>Mango Matcha</t>
  </si>
  <si>
    <t>DRK-674</t>
  </si>
  <si>
    <t>Ube Matcha</t>
  </si>
  <si>
    <t>DRK-521</t>
  </si>
  <si>
    <t>Iced Matcha Seasalt (Small)</t>
  </si>
  <si>
    <t>DRK-523</t>
  </si>
  <si>
    <t>Iced Matcha Latte (Small)</t>
  </si>
  <si>
    <t>DRK-525</t>
  </si>
  <si>
    <t>White Chocolate Matcha (Small)</t>
  </si>
  <si>
    <t>DRK-527</t>
  </si>
  <si>
    <t>Biscoff Matcha (Small)</t>
  </si>
  <si>
    <t>DRK-529</t>
  </si>
  <si>
    <t>Dirty Matcha (Small)</t>
  </si>
  <si>
    <t>DRK-530</t>
  </si>
  <si>
    <t>Dirty Matcha (Large)</t>
  </si>
  <si>
    <t>Subtotal — Matcha Series Sales:</t>
  </si>
  <si>
    <t>🥤  CATEGORY: FRAPPE (7 Beverages)</t>
  </si>
  <si>
    <t>DRK-669</t>
  </si>
  <si>
    <t>Frappe Oreo</t>
  </si>
  <si>
    <t>Frappe</t>
  </si>
  <si>
    <t>DRK-664</t>
  </si>
  <si>
    <t xml:space="preserve">Frappe Strawberry </t>
  </si>
  <si>
    <t>DRK-665</t>
  </si>
  <si>
    <t>Frappe Chocolate</t>
  </si>
  <si>
    <t>DRK-667</t>
  </si>
  <si>
    <t>Frappe Ube Taro</t>
  </si>
  <si>
    <t>DRK-666</t>
  </si>
  <si>
    <t>Frappe Macha</t>
  </si>
  <si>
    <t>DRK-668</t>
  </si>
  <si>
    <t>Frappe Coffee</t>
  </si>
  <si>
    <t>DRK-670</t>
  </si>
  <si>
    <t>Frappe Vanilla</t>
  </si>
  <si>
    <t>Subtotal — Frappe Sales:</t>
  </si>
  <si>
    <t>🫖  CATEGORY: TEA (10 Beverages)</t>
  </si>
  <si>
    <t>DRK-602</t>
  </si>
  <si>
    <t xml:space="preserve">Dilmah Earl Grey </t>
  </si>
  <si>
    <t>TEA</t>
  </si>
  <si>
    <t>bag</t>
  </si>
  <si>
    <t>DRK-520</t>
  </si>
  <si>
    <t>Hot Black Tea (Small)</t>
  </si>
  <si>
    <t>DRK-588</t>
  </si>
  <si>
    <t>Hot Black Tea (Large)</t>
  </si>
  <si>
    <t>DRK-605</t>
  </si>
  <si>
    <t xml:space="preserve">Dilmah pure peppermint leaves </t>
  </si>
  <si>
    <t>DRK-519</t>
  </si>
  <si>
    <t>Hot Jasmine Tea (Small)</t>
  </si>
  <si>
    <t>DRK-603</t>
  </si>
  <si>
    <t>Dilmah Pure Chamomile flowers</t>
  </si>
  <si>
    <t>DRK-604</t>
  </si>
  <si>
    <t xml:space="preserve">Dilmah Traditional oolong tea </t>
  </si>
  <si>
    <t>DRK-601</t>
  </si>
  <si>
    <t xml:space="preserve">Dilmah Green Tea with Jasmine </t>
  </si>
  <si>
    <t>DRK-600</t>
  </si>
  <si>
    <t>Dilmah Gourment Green Tea</t>
  </si>
  <si>
    <t>DRK-587</t>
  </si>
  <si>
    <t>Hot Jasmine Tea (Large)</t>
  </si>
  <si>
    <t>Subtotal — TEA Sales:</t>
  </si>
  <si>
    <t>🏆 GRAND TOTAL — ALL BEVERAGE SALES: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</si>
</sst>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  <numFmt numFmtId="177" formatCode="&quot;₱&quot;#,##0.00;[Red]\(&quot;₱&quot;#,##0.00\);&quot;-&quot;"/>
  </numFmts>
  <fonts count="41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i/>
      <sz val="10"/>
      <color rgb="FFE0D4C3"/>
      <name val="Segoe UI"/>
      <charset val="134"/>
    </font>
    <font>
      <b/>
      <sz val="10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9"/>
      <color rgb="FF555555"/>
      <name val="Segoe UI"/>
      <charset val="134"/>
    </font>
    <font>
      <b/>
      <sz val="10"/>
      <color rgb="FF1F1F1F"/>
      <name val="Segoe UI"/>
      <charset val="134"/>
    </font>
    <font>
      <sz val="10"/>
      <color rgb="FF1F1F1F"/>
      <name val="Segoe UI"/>
      <charset val="134"/>
    </font>
    <font>
      <b/>
      <sz val="10"/>
      <color rgb="FF0F5132"/>
      <name val="Segoe UI"/>
      <charset val="134"/>
    </font>
    <font>
      <b/>
      <sz val="10"/>
      <color rgb="FF084298"/>
      <name val="Segoe UI"/>
      <charset val="134"/>
    </font>
    <font>
      <sz val="10"/>
      <color rgb="FF6C757D"/>
      <name val="Segoe UI"/>
      <charset val="134"/>
    </font>
    <font>
      <b/>
      <sz val="9"/>
      <color rgb="FF4A2E1B"/>
      <name val="Segoe UI"/>
      <charset val="134"/>
    </font>
    <font>
      <b/>
      <sz val="11"/>
      <color rgb="FF2C1810"/>
      <name val="Segoe UI"/>
      <charset val="134"/>
    </font>
    <font>
      <b/>
      <sz val="12"/>
      <color rgb="FF084298"/>
      <name val="Segoe UI"/>
      <charset val="134"/>
    </font>
    <font>
      <b/>
      <sz val="12"/>
      <color rgb="FF0F5132"/>
      <name val="Segoe UI"/>
      <charset val="134"/>
    </font>
    <font>
      <b/>
      <sz val="12"/>
      <color rgb="FFFFFFFF"/>
      <name val="Segoe UI"/>
      <charset val="134"/>
    </font>
    <font>
      <b/>
      <sz val="9.5"/>
      <color rgb="FFFFFFFF"/>
      <name val="Segoe UI"/>
      <charset val="134"/>
    </font>
    <font>
      <b/>
      <sz val="10"/>
      <color rgb="FF000000"/>
      <name val="Segoe UI"/>
      <charset val="134"/>
    </font>
    <font>
      <b/>
      <sz val="9"/>
      <color rgb="FF004D40"/>
      <name val="Segoe UI"/>
      <charset val="134"/>
    </font>
    <font>
      <b/>
      <sz val="9"/>
      <color rgb="FFB71C1C"/>
      <name val="Segoe UI"/>
      <charset val="134"/>
    </font>
    <font>
      <b/>
      <sz val="9"/>
      <color rgb="FF1B5E20"/>
      <name val="Segoe UI"/>
      <charset val="134"/>
    </font>
    <font>
      <b/>
      <sz val="9"/>
      <color rgb="FFE651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2C1810"/>
        <bgColor rgb="FF2C1810"/>
      </patternFill>
    </fill>
    <fill>
      <patternFill patternType="solid">
        <fgColor rgb="FF4A2E1B"/>
        <bgColor rgb="FF4A2E1B"/>
      </patternFill>
    </fill>
    <fill>
      <patternFill patternType="solid">
        <fgColor rgb="FF3D2314"/>
        <bgColor rgb="FF3D2314"/>
      </patternFill>
    </fill>
    <fill>
      <patternFill patternType="solid">
        <fgColor rgb="FFFFFFFF"/>
        <bgColor rgb="FFFFFFFF"/>
      </patternFill>
    </fill>
    <fill>
      <patternFill patternType="solid">
        <fgColor rgb="FFD1E7DD"/>
        <bgColor rgb="FFD1E7DD"/>
      </patternFill>
    </fill>
    <fill>
      <patternFill patternType="solid">
        <fgColor rgb="FFFAF8F5"/>
        <bgColor rgb="FFFAF8F5"/>
      </patternFill>
    </fill>
    <fill>
      <patternFill patternType="solid">
        <fgColor rgb="FFCFE2FF"/>
        <bgColor rgb="FFCFE2FF"/>
      </patternFill>
    </fill>
    <fill>
      <patternFill patternType="solid">
        <fgColor rgb="FFF5F5F5"/>
        <bgColor rgb="FFF5F5F5"/>
      </patternFill>
    </fill>
    <fill>
      <patternFill patternType="solid">
        <fgColor rgb="FFF2EDE4"/>
        <bgColor rgb="FFF2EDE4"/>
      </patternFill>
    </fill>
    <fill>
      <patternFill patternType="solid">
        <fgColor rgb="FF1A4870"/>
        <bgColor rgb="FF1A4870"/>
      </patternFill>
    </fill>
    <fill>
      <patternFill patternType="solid">
        <fgColor rgb="FF6B3E26"/>
        <bgColor rgb="FF6B3E26"/>
      </patternFill>
    </fill>
    <fill>
      <patternFill patternType="solid">
        <fgColor rgb="FF7A3E26"/>
        <bgColor rgb="FF7A3E26"/>
      </patternFill>
    </fill>
    <fill>
      <patternFill patternType="solid">
        <fgColor rgb="FF2D5A27"/>
        <bgColor rgb="FF2D5A27"/>
      </patternFill>
    </fill>
    <fill>
      <patternFill patternType="solid">
        <fgColor rgb="FF7A5210"/>
        <bgColor rgb="FF7A5210"/>
      </patternFill>
    </fill>
    <fill>
      <patternFill patternType="solid">
        <fgColor rgb="FF1B4D3E"/>
        <bgColor rgb="FF1B4D3E"/>
      </patternFill>
    </fill>
    <fill>
      <patternFill patternType="solid">
        <fgColor rgb="FFE6DFD5"/>
        <bgColor rgb="FFE6DFD5"/>
      </patternFill>
    </fill>
    <fill>
      <patternFill patternType="solid">
        <fgColor rgb="FF4A3525"/>
        <bgColor rgb="FF4A3525"/>
      </patternFill>
    </fill>
    <fill>
      <patternFill patternType="solid">
        <fgColor rgb="FFE0F7FA"/>
        <bgColor rgb="FFE0F7FA"/>
      </patternFill>
    </fill>
    <fill>
      <patternFill patternType="solid">
        <fgColor rgb="FFB2EBF2"/>
        <bgColor rgb="FFB2EBF2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8E1"/>
        <bgColor rgb="FFFFF8E1"/>
      </patternFill>
    </fill>
    <fill>
      <patternFill patternType="solid">
        <fgColor rgb="FFFFE0B2"/>
        <bgColor rgb="FFFFE0B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2C1810"/>
      </top>
      <bottom style="double">
        <color rgb="FF2C1810"/>
      </bottom>
      <diagonal/>
    </border>
    <border>
      <left style="thin">
        <color rgb="FFE0E0E0"/>
      </left>
      <right style="thin">
        <color rgb="FFE0E0E0"/>
      </right>
      <top style="medium">
        <color rgb="FF2C1810"/>
      </top>
      <bottom style="medium">
        <color rgb="FF2C181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8" borderId="10" applyNumberFormat="0" applyAlignment="0" applyProtection="0">
      <alignment vertical="center"/>
    </xf>
    <xf numFmtId="0" fontId="31" fillId="29" borderId="11" applyNumberFormat="0" applyAlignment="0" applyProtection="0">
      <alignment vertical="center"/>
    </xf>
    <xf numFmtId="0" fontId="32" fillId="29" borderId="10" applyNumberFormat="0" applyAlignment="0" applyProtection="0">
      <alignment vertical="center"/>
    </xf>
    <xf numFmtId="0" fontId="33" fillId="30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3" fontId="8" fillId="6" borderId="2" xfId="0" applyNumberFormat="1" applyFont="1" applyFill="1" applyBorder="1" applyAlignment="1">
      <alignment horizontal="right" vertical="center"/>
    </xf>
    <xf numFmtId="176" fontId="6" fillId="5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176" fontId="7" fillId="7" borderId="2" xfId="0" applyNumberFormat="1" applyFont="1" applyFill="1" applyBorder="1" applyAlignment="1">
      <alignment horizontal="right" vertical="center"/>
    </xf>
    <xf numFmtId="3" fontId="7" fillId="7" borderId="2" xfId="0" applyNumberFormat="1" applyFont="1" applyFill="1" applyBorder="1" applyAlignment="1">
      <alignment horizontal="right" vertical="center"/>
    </xf>
    <xf numFmtId="3" fontId="6" fillId="7" borderId="2" xfId="0" applyNumberFormat="1" applyFont="1" applyFill="1" applyBorder="1" applyAlignment="1">
      <alignment horizontal="right" vertical="center"/>
    </xf>
    <xf numFmtId="176" fontId="6" fillId="7" borderId="2" xfId="0" applyNumberFormat="1" applyFont="1" applyFill="1" applyBorder="1" applyAlignment="1">
      <alignment horizontal="right" vertical="center"/>
    </xf>
    <xf numFmtId="3" fontId="9" fillId="8" borderId="2" xfId="0" applyNumberFormat="1" applyFont="1" applyFill="1" applyBorder="1" applyAlignment="1">
      <alignment horizontal="right" vertical="center"/>
    </xf>
    <xf numFmtId="3" fontId="10" fillId="9" borderId="2" xfId="0" applyNumberFormat="1" applyFont="1" applyFill="1" applyBorder="1" applyAlignment="1">
      <alignment horizontal="right" vertical="center"/>
    </xf>
    <xf numFmtId="0" fontId="11" fillId="10" borderId="3" xfId="0" applyFont="1" applyFill="1" applyBorder="1" applyAlignment="1">
      <alignment horizontal="right" vertical="center"/>
    </xf>
    <xf numFmtId="0" fontId="0" fillId="0" borderId="3" xfId="0" applyBorder="1"/>
    <xf numFmtId="3" fontId="9" fillId="10" borderId="3" xfId="0" applyNumberFormat="1" applyFont="1" applyFill="1" applyBorder="1" applyAlignment="1">
      <alignment horizontal="right" vertical="center"/>
    </xf>
    <xf numFmtId="176" fontId="8" fillId="10" borderId="3" xfId="0" applyNumberFormat="1" applyFont="1" applyFill="1" applyBorder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12" fillId="17" borderId="4" xfId="0" applyFont="1" applyFill="1" applyBorder="1" applyAlignment="1">
      <alignment horizontal="right" vertical="center"/>
    </xf>
    <xf numFmtId="0" fontId="0" fillId="0" borderId="4" xfId="0" applyBorder="1"/>
    <xf numFmtId="3" fontId="13" fillId="17" borderId="4" xfId="0" applyNumberFormat="1" applyFont="1" applyFill="1" applyBorder="1" applyAlignment="1">
      <alignment horizontal="right" vertical="center"/>
    </xf>
    <xf numFmtId="176" fontId="14" fillId="17" borderId="4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right" vertical="center"/>
    </xf>
    <xf numFmtId="0" fontId="3" fillId="18" borderId="0" xfId="0" applyFont="1" applyFill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176" fontId="7" fillId="5" borderId="6" xfId="0" applyNumberFormat="1" applyFont="1" applyFill="1" applyBorder="1" applyAlignment="1">
      <alignment horizontal="right" vertical="center"/>
    </xf>
    <xf numFmtId="3" fontId="7" fillId="5" borderId="6" xfId="0" applyNumberFormat="1" applyFont="1" applyFill="1" applyBorder="1" applyAlignment="1">
      <alignment horizontal="right" vertical="center"/>
    </xf>
    <xf numFmtId="3" fontId="6" fillId="5" borderId="6" xfId="0" applyNumberFormat="1" applyFont="1" applyFill="1" applyBorder="1" applyAlignment="1">
      <alignment horizontal="right" vertical="center"/>
    </xf>
    <xf numFmtId="3" fontId="17" fillId="5" borderId="6" xfId="0" applyNumberFormat="1" applyFont="1" applyFill="1" applyBorder="1" applyAlignment="1">
      <alignment horizontal="right" vertical="center"/>
    </xf>
    <xf numFmtId="3" fontId="17" fillId="19" borderId="6" xfId="0" applyNumberFormat="1" applyFont="1" applyFill="1" applyBorder="1" applyAlignment="1">
      <alignment horizontal="right" vertical="center"/>
    </xf>
    <xf numFmtId="0" fontId="0" fillId="19" borderId="6" xfId="0" applyFill="1" applyBorder="1"/>
    <xf numFmtId="0" fontId="18" fillId="19" borderId="6" xfId="0" applyFont="1" applyFill="1" applyBorder="1" applyAlignment="1">
      <alignment horizontal="center" vertical="center"/>
    </xf>
    <xf numFmtId="0" fontId="18" fillId="20" borderId="6" xfId="0" applyFont="1" applyFill="1" applyBorder="1" applyAlignment="1">
      <alignment horizontal="center" vertical="center"/>
    </xf>
    <xf numFmtId="177" fontId="18" fillId="19" borderId="6" xfId="0" applyNumberFormat="1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center" vertical="center"/>
    </xf>
    <xf numFmtId="176" fontId="7" fillId="7" borderId="6" xfId="0" applyNumberFormat="1" applyFont="1" applyFill="1" applyBorder="1" applyAlignment="1">
      <alignment horizontal="right" vertical="center"/>
    </xf>
    <xf numFmtId="3" fontId="7" fillId="7" borderId="6" xfId="0" applyNumberFormat="1" applyFont="1" applyFill="1" applyBorder="1" applyAlignment="1">
      <alignment horizontal="right" vertical="center"/>
    </xf>
    <xf numFmtId="3" fontId="6" fillId="7" borderId="6" xfId="0" applyNumberFormat="1" applyFont="1" applyFill="1" applyBorder="1" applyAlignment="1">
      <alignment horizontal="right" vertical="center"/>
    </xf>
    <xf numFmtId="3" fontId="17" fillId="21" borderId="6" xfId="0" applyNumberFormat="1" applyFont="1" applyFill="1" applyBorder="1" applyAlignment="1">
      <alignment horizontal="right" vertical="center"/>
    </xf>
    <xf numFmtId="0" fontId="0" fillId="21" borderId="6" xfId="0" applyFill="1" applyBorder="1"/>
    <xf numFmtId="0" fontId="19" fillId="21" borderId="6" xfId="0" applyFont="1" applyFill="1" applyBorder="1" applyAlignment="1">
      <alignment horizontal="center" vertical="center"/>
    </xf>
    <xf numFmtId="0" fontId="19" fillId="22" borderId="6" xfId="0" applyFont="1" applyFill="1" applyBorder="1" applyAlignment="1">
      <alignment horizontal="center" vertical="center"/>
    </xf>
    <xf numFmtId="177" fontId="19" fillId="21" borderId="6" xfId="0" applyNumberFormat="1" applyFont="1" applyFill="1" applyBorder="1" applyAlignment="1">
      <alignment horizontal="right" vertical="center"/>
    </xf>
    <xf numFmtId="4" fontId="6" fillId="7" borderId="6" xfId="0" applyNumberFormat="1" applyFont="1" applyFill="1" applyBorder="1" applyAlignment="1">
      <alignment horizontal="right" vertical="center"/>
    </xf>
    <xf numFmtId="3" fontId="17" fillId="7" borderId="6" xfId="0" applyNumberFormat="1" applyFont="1" applyFill="1" applyBorder="1" applyAlignment="1">
      <alignment horizontal="right" vertical="center"/>
    </xf>
    <xf numFmtId="3" fontId="17" fillId="23" borderId="6" xfId="0" applyNumberFormat="1" applyFont="1" applyFill="1" applyBorder="1" applyAlignment="1">
      <alignment horizontal="right" vertical="center"/>
    </xf>
    <xf numFmtId="0" fontId="0" fillId="23" borderId="6" xfId="0" applyFill="1" applyBorder="1"/>
    <xf numFmtId="0" fontId="20" fillId="23" borderId="6" xfId="0" applyFont="1" applyFill="1" applyBorder="1" applyAlignment="1">
      <alignment horizontal="center" vertical="center"/>
    </xf>
    <xf numFmtId="0" fontId="20" fillId="24" borderId="6" xfId="0" applyFont="1" applyFill="1" applyBorder="1" applyAlignment="1">
      <alignment horizontal="center" vertical="center"/>
    </xf>
    <xf numFmtId="177" fontId="20" fillId="23" borderId="6" xfId="0" applyNumberFormat="1" applyFont="1" applyFill="1" applyBorder="1" applyAlignment="1">
      <alignment horizontal="right" vertical="center"/>
    </xf>
    <xf numFmtId="4" fontId="6" fillId="5" borderId="6" xfId="0" applyNumberFormat="1" applyFont="1" applyFill="1" applyBorder="1" applyAlignment="1">
      <alignment horizontal="right" vertical="center"/>
    </xf>
    <xf numFmtId="3" fontId="17" fillId="25" borderId="6" xfId="0" applyNumberFormat="1" applyFont="1" applyFill="1" applyBorder="1" applyAlignment="1">
      <alignment horizontal="right" vertical="center"/>
    </xf>
    <xf numFmtId="0" fontId="0" fillId="25" borderId="6" xfId="0" applyFill="1" applyBorder="1"/>
    <xf numFmtId="0" fontId="21" fillId="25" borderId="6" xfId="0" applyFont="1" applyFill="1" applyBorder="1" applyAlignment="1">
      <alignment horizontal="center" vertical="center"/>
    </xf>
    <xf numFmtId="0" fontId="21" fillId="26" borderId="6" xfId="0" applyFont="1" applyFill="1" applyBorder="1" applyAlignment="1">
      <alignment horizontal="center" vertical="center"/>
    </xf>
    <xf numFmtId="177" fontId="21" fillId="25" borderId="6" xfId="0" applyNumberFormat="1" applyFont="1" applyFill="1" applyBorder="1" applyAlignment="1">
      <alignment horizontal="right" vertical="center"/>
    </xf>
    <xf numFmtId="2" fontId="17" fillId="21" borderId="6" xfId="0" applyNumberFormat="1" applyFont="1" applyFill="1" applyBorder="1" applyAlignment="1">
      <alignment horizontal="right" vertical="center"/>
    </xf>
    <xf numFmtId="2" fontId="17" fillId="19" borderId="6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2"/>
  <sheetViews>
    <sheetView tabSelected="1" zoomScale="24" zoomScaleNormal="24" workbookViewId="0">
      <pane ySplit="3" topLeftCell="A4" activePane="bottomLeft" state="frozen"/>
      <selection/>
      <selection pane="bottomLeft" activeCell="I83" sqref="I83"/>
    </sheetView>
  </sheetViews>
  <sheetFormatPr defaultColWidth="9" defaultRowHeight="14.5"/>
  <cols>
    <col min="1" max="1" width="11" customWidth="1"/>
    <col min="2" max="2" width="34" customWidth="1"/>
    <col min="3" max="3" width="11" customWidth="1"/>
    <col min="4" max="4" width="14.3272727272727" customWidth="1"/>
    <col min="5" max="5" width="15" customWidth="1"/>
    <col min="6" max="6" width="16" customWidth="1"/>
    <col min="7" max="7" width="15" customWidth="1"/>
    <col min="8" max="8" width="17" customWidth="1"/>
    <col min="9" max="9" width="13" customWidth="1"/>
    <col min="10" max="10" width="16" customWidth="1"/>
    <col min="11" max="11" width="26.1727272727273" customWidth="1"/>
    <col min="12" max="12" width="25.3818181818182" customWidth="1"/>
    <col min="13" max="13" width="18" customWidth="1"/>
  </cols>
  <sheetData>
    <row r="1" ht="36" customHeight="1" spans="1:1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ht="15" customHeight="1"/>
    <row r="3" ht="32" customHeight="1" spans="1:1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9" t="s">
        <v>11</v>
      </c>
      <c r="L3" s="39" t="s">
        <v>12</v>
      </c>
      <c r="M3" s="40" t="s">
        <v>13</v>
      </c>
    </row>
    <row r="4" ht="24" customHeight="1" spans="1:13">
      <c r="A4" s="41" t="s">
        <v>14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ht="22" customHeight="1" spans="1:13">
      <c r="A5" s="42" t="s">
        <v>15</v>
      </c>
      <c r="B5" s="43" t="s">
        <v>16</v>
      </c>
      <c r="C5" s="44" t="s">
        <v>17</v>
      </c>
      <c r="D5" s="45">
        <v>2.8</v>
      </c>
      <c r="E5" s="46">
        <v>300</v>
      </c>
      <c r="F5" s="46">
        <v>500</v>
      </c>
      <c r="G5" s="47">
        <f>E5+F5</f>
        <v>800</v>
      </c>
      <c r="H5" s="48">
        <f>G5-I5</f>
        <v>91</v>
      </c>
      <c r="I5" s="49">
        <v>709</v>
      </c>
      <c r="J5" s="50">
        <v>768</v>
      </c>
      <c r="K5" s="51">
        <f>J5-I5</f>
        <v>59</v>
      </c>
      <c r="L5" s="52" t="s">
        <v>18</v>
      </c>
      <c r="M5" s="53">
        <f>K5*D5</f>
        <v>165.2</v>
      </c>
    </row>
    <row r="6" ht="22" customHeight="1" spans="1:13">
      <c r="A6" s="54" t="s">
        <v>19</v>
      </c>
      <c r="B6" s="55" t="s">
        <v>20</v>
      </c>
      <c r="C6" s="56" t="s">
        <v>17</v>
      </c>
      <c r="D6" s="57">
        <v>2.8</v>
      </c>
      <c r="E6" s="58">
        <v>300</v>
      </c>
      <c r="F6" s="58">
        <v>400</v>
      </c>
      <c r="G6" s="59">
        <f>E6+F6</f>
        <v>700</v>
      </c>
      <c r="H6" s="48">
        <f>G6-I6</f>
        <v>74</v>
      </c>
      <c r="I6" s="49">
        <v>626</v>
      </c>
      <c r="J6" s="50">
        <v>944</v>
      </c>
      <c r="K6" s="51">
        <f>J6-I6</f>
        <v>318</v>
      </c>
      <c r="L6" s="52" t="s">
        <v>18</v>
      </c>
      <c r="M6" s="53">
        <f>K6*D6</f>
        <v>890.4</v>
      </c>
    </row>
    <row r="7" ht="22" customHeight="1" spans="1:13">
      <c r="A7" s="42" t="s">
        <v>21</v>
      </c>
      <c r="B7" s="43" t="s">
        <v>22</v>
      </c>
      <c r="C7" s="44" t="s">
        <v>17</v>
      </c>
      <c r="D7" s="45">
        <v>2.4</v>
      </c>
      <c r="E7" s="46">
        <v>250</v>
      </c>
      <c r="F7" s="46">
        <v>750</v>
      </c>
      <c r="G7" s="47">
        <f>E7+F7</f>
        <v>1000</v>
      </c>
      <c r="H7" s="48">
        <f>G7-I7</f>
        <v>75</v>
      </c>
      <c r="I7" s="60">
        <v>925</v>
      </c>
      <c r="J7" s="61">
        <v>924</v>
      </c>
      <c r="K7" s="62">
        <f>J7-I7</f>
        <v>-1</v>
      </c>
      <c r="L7" s="63" t="s">
        <v>23</v>
      </c>
      <c r="M7" s="64">
        <f>K7*D7</f>
        <v>-2.4</v>
      </c>
    </row>
    <row r="8" ht="24" customHeight="1" spans="1:13">
      <c r="A8" s="41" t="s">
        <v>24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ht="22" customHeight="1" spans="1:13">
      <c r="A9" s="54" t="s">
        <v>25</v>
      </c>
      <c r="B9" s="55" t="s">
        <v>26</v>
      </c>
      <c r="C9" s="56" t="s">
        <v>27</v>
      </c>
      <c r="D9" s="57">
        <v>980</v>
      </c>
      <c r="E9" s="58">
        <v>10</v>
      </c>
      <c r="F9" s="58">
        <v>0</v>
      </c>
      <c r="G9" s="65">
        <f>E9+F9</f>
        <v>10</v>
      </c>
      <c r="H9" s="66">
        <f>G9-I9</f>
        <v>7</v>
      </c>
      <c r="I9" s="67">
        <v>3</v>
      </c>
      <c r="J9" s="68">
        <v>3</v>
      </c>
      <c r="K9" s="69">
        <f>J9-I9</f>
        <v>0</v>
      </c>
      <c r="L9" s="70" t="s">
        <v>28</v>
      </c>
      <c r="M9" s="71">
        <f>K9*D9</f>
        <v>0</v>
      </c>
    </row>
    <row r="10" ht="22" customHeight="1" spans="1:13">
      <c r="A10" s="42" t="s">
        <v>29</v>
      </c>
      <c r="B10" s="43" t="s">
        <v>30</v>
      </c>
      <c r="C10" s="44" t="s">
        <v>27</v>
      </c>
      <c r="D10" s="45">
        <v>204</v>
      </c>
      <c r="E10" s="46">
        <v>0</v>
      </c>
      <c r="F10" s="46">
        <v>1</v>
      </c>
      <c r="G10" s="72">
        <f>E10+F10</f>
        <v>1</v>
      </c>
      <c r="H10" s="66">
        <f>G10-I10</f>
        <v>0</v>
      </c>
      <c r="I10" s="67">
        <v>1</v>
      </c>
      <c r="J10" s="68">
        <v>1</v>
      </c>
      <c r="K10" s="69">
        <f>J10-I10</f>
        <v>0</v>
      </c>
      <c r="L10" s="70" t="s">
        <v>28</v>
      </c>
      <c r="M10" s="71">
        <f>K10*D10</f>
        <v>0</v>
      </c>
    </row>
    <row r="11" ht="24" customHeight="1" spans="1:13">
      <c r="A11" s="41" t="s">
        <v>31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ht="22" customHeight="1" spans="1:13">
      <c r="A12" s="54" t="s">
        <v>32</v>
      </c>
      <c r="B12" s="55" t="s">
        <v>33</v>
      </c>
      <c r="C12" s="56" t="s">
        <v>34</v>
      </c>
      <c r="D12" s="57">
        <v>550</v>
      </c>
      <c r="E12" s="58">
        <v>0</v>
      </c>
      <c r="F12" s="58">
        <v>1</v>
      </c>
      <c r="G12" s="65">
        <f t="shared" ref="G12:G23" si="0">E12+F12</f>
        <v>1</v>
      </c>
      <c r="H12" s="66">
        <f t="shared" ref="H12:H23" si="1">G12-I12</f>
        <v>0</v>
      </c>
      <c r="I12" s="67">
        <v>1</v>
      </c>
      <c r="J12" s="68">
        <v>1</v>
      </c>
      <c r="K12" s="69">
        <f>J12-I12</f>
        <v>0</v>
      </c>
      <c r="L12" s="70" t="s">
        <v>28</v>
      </c>
      <c r="M12" s="71">
        <f>K12*D12</f>
        <v>0</v>
      </c>
    </row>
    <row r="13" ht="22" customHeight="1" spans="1:13">
      <c r="A13" s="42" t="s">
        <v>35</v>
      </c>
      <c r="B13" s="43" t="s">
        <v>36</v>
      </c>
      <c r="C13" s="44" t="s">
        <v>34</v>
      </c>
      <c r="D13" s="45">
        <v>550</v>
      </c>
      <c r="E13" s="46">
        <v>0</v>
      </c>
      <c r="F13" s="46">
        <v>1</v>
      </c>
      <c r="G13" s="72">
        <f t="shared" si="0"/>
        <v>1</v>
      </c>
      <c r="H13" s="66">
        <f t="shared" si="1"/>
        <v>0</v>
      </c>
      <c r="I13" s="67">
        <v>1</v>
      </c>
      <c r="J13" s="68">
        <v>1</v>
      </c>
      <c r="K13" s="69">
        <f>J13-I13</f>
        <v>0</v>
      </c>
      <c r="L13" s="70" t="s">
        <v>28</v>
      </c>
      <c r="M13" s="71">
        <f>K13*D13</f>
        <v>0</v>
      </c>
    </row>
    <row r="14" ht="22" customHeight="1" spans="1:13">
      <c r="A14" s="54" t="s">
        <v>37</v>
      </c>
      <c r="B14" s="55" t="s">
        <v>38</v>
      </c>
      <c r="C14" s="56" t="s">
        <v>34</v>
      </c>
      <c r="D14" s="57">
        <v>550</v>
      </c>
      <c r="E14" s="58">
        <v>0</v>
      </c>
      <c r="F14" s="58">
        <v>1</v>
      </c>
      <c r="G14" s="65">
        <f t="shared" si="0"/>
        <v>1</v>
      </c>
      <c r="H14" s="66">
        <f t="shared" si="1"/>
        <v>0</v>
      </c>
      <c r="I14" s="60">
        <v>1</v>
      </c>
      <c r="J14" s="61" t="s">
        <v>39</v>
      </c>
      <c r="K14" s="62">
        <v>-0.33</v>
      </c>
      <c r="L14" s="63" t="s">
        <v>23</v>
      </c>
      <c r="M14" s="64">
        <v>-181.5</v>
      </c>
    </row>
    <row r="15" ht="22" customHeight="1" spans="1:13">
      <c r="A15" s="42" t="s">
        <v>40</v>
      </c>
      <c r="B15" s="43" t="s">
        <v>41</v>
      </c>
      <c r="C15" s="44" t="s">
        <v>34</v>
      </c>
      <c r="D15" s="45">
        <v>550</v>
      </c>
      <c r="E15" s="46">
        <v>0</v>
      </c>
      <c r="F15" s="46">
        <v>1</v>
      </c>
      <c r="G15" s="72">
        <f t="shared" si="0"/>
        <v>1</v>
      </c>
      <c r="H15" s="66">
        <f t="shared" si="1"/>
        <v>0</v>
      </c>
      <c r="I15" s="73">
        <v>1</v>
      </c>
      <c r="J15" s="74" t="s">
        <v>42</v>
      </c>
      <c r="K15" s="75">
        <v>0</v>
      </c>
      <c r="L15" s="76" t="s">
        <v>43</v>
      </c>
      <c r="M15" s="77">
        <v>0</v>
      </c>
    </row>
    <row r="16" ht="22" customHeight="1" spans="1:13">
      <c r="A16" s="54" t="s">
        <v>44</v>
      </c>
      <c r="B16" s="55" t="s">
        <v>45</v>
      </c>
      <c r="C16" s="56" t="s">
        <v>34</v>
      </c>
      <c r="D16" s="57">
        <v>550</v>
      </c>
      <c r="E16" s="58">
        <v>0</v>
      </c>
      <c r="F16" s="58">
        <v>1</v>
      </c>
      <c r="G16" s="65">
        <f t="shared" si="0"/>
        <v>1</v>
      </c>
      <c r="H16" s="66">
        <f t="shared" si="1"/>
        <v>0</v>
      </c>
      <c r="I16" s="67">
        <v>1</v>
      </c>
      <c r="J16" s="68">
        <v>1</v>
      </c>
      <c r="K16" s="69">
        <f>J16-I16</f>
        <v>0</v>
      </c>
      <c r="L16" s="70" t="s">
        <v>28</v>
      </c>
      <c r="M16" s="71">
        <f>K16*D16</f>
        <v>0</v>
      </c>
    </row>
    <row r="17" ht="22" customHeight="1" spans="1:13">
      <c r="A17" s="42" t="s">
        <v>46</v>
      </c>
      <c r="B17" s="43" t="s">
        <v>47</v>
      </c>
      <c r="C17" s="44" t="s">
        <v>34</v>
      </c>
      <c r="D17" s="45">
        <v>550</v>
      </c>
      <c r="E17" s="46">
        <v>0</v>
      </c>
      <c r="F17" s="46">
        <v>1</v>
      </c>
      <c r="G17" s="72">
        <f t="shared" si="0"/>
        <v>1</v>
      </c>
      <c r="H17" s="66">
        <f t="shared" si="1"/>
        <v>0</v>
      </c>
      <c r="I17" s="73">
        <v>1</v>
      </c>
      <c r="J17" s="74">
        <v>892</v>
      </c>
      <c r="K17" s="75">
        <v>0</v>
      </c>
      <c r="L17" s="76" t="s">
        <v>43</v>
      </c>
      <c r="M17" s="77">
        <v>0</v>
      </c>
    </row>
    <row r="18" ht="22" customHeight="1" spans="1:13">
      <c r="A18" s="54" t="s">
        <v>48</v>
      </c>
      <c r="B18" s="55" t="s">
        <v>49</v>
      </c>
      <c r="C18" s="56" t="s">
        <v>34</v>
      </c>
      <c r="D18" s="57">
        <v>550</v>
      </c>
      <c r="E18" s="58">
        <v>0</v>
      </c>
      <c r="F18" s="58">
        <v>1</v>
      </c>
      <c r="G18" s="65">
        <f t="shared" si="0"/>
        <v>1</v>
      </c>
      <c r="H18" s="66">
        <f t="shared" si="1"/>
        <v>0</v>
      </c>
      <c r="I18" s="67">
        <v>1</v>
      </c>
      <c r="J18" s="68">
        <v>1</v>
      </c>
      <c r="K18" s="69">
        <f>J18-I18</f>
        <v>0</v>
      </c>
      <c r="L18" s="70" t="s">
        <v>28</v>
      </c>
      <c r="M18" s="71">
        <f>K18*D18</f>
        <v>0</v>
      </c>
    </row>
    <row r="19" ht="22" customHeight="1" spans="1:13">
      <c r="A19" s="42" t="s">
        <v>50</v>
      </c>
      <c r="B19" s="43" t="s">
        <v>51</v>
      </c>
      <c r="C19" s="44" t="s">
        <v>34</v>
      </c>
      <c r="D19" s="45">
        <v>550</v>
      </c>
      <c r="E19" s="46">
        <v>0</v>
      </c>
      <c r="F19" s="46">
        <v>1</v>
      </c>
      <c r="G19" s="72">
        <f t="shared" si="0"/>
        <v>1</v>
      </c>
      <c r="H19" s="66">
        <f t="shared" si="1"/>
        <v>0</v>
      </c>
      <c r="I19" s="73">
        <v>1</v>
      </c>
      <c r="J19" s="74" t="s">
        <v>52</v>
      </c>
      <c r="K19" s="75">
        <v>0</v>
      </c>
      <c r="L19" s="76" t="s">
        <v>43</v>
      </c>
      <c r="M19" s="77">
        <v>0</v>
      </c>
    </row>
    <row r="20" ht="22" customHeight="1" spans="1:13">
      <c r="A20" s="54" t="s">
        <v>53</v>
      </c>
      <c r="B20" s="55" t="s">
        <v>54</v>
      </c>
      <c r="C20" s="56" t="s">
        <v>34</v>
      </c>
      <c r="D20" s="57">
        <v>550</v>
      </c>
      <c r="E20" s="58">
        <v>0</v>
      </c>
      <c r="F20" s="58">
        <v>1</v>
      </c>
      <c r="G20" s="65">
        <f t="shared" si="0"/>
        <v>1</v>
      </c>
      <c r="H20" s="66">
        <f t="shared" si="1"/>
        <v>0</v>
      </c>
      <c r="I20" s="73">
        <v>1</v>
      </c>
      <c r="J20" s="74" t="s">
        <v>55</v>
      </c>
      <c r="K20" s="75">
        <v>0</v>
      </c>
      <c r="L20" s="76" t="s">
        <v>43</v>
      </c>
      <c r="M20" s="77">
        <v>0</v>
      </c>
    </row>
    <row r="21" ht="22" customHeight="1" spans="1:13">
      <c r="A21" s="42" t="s">
        <v>56</v>
      </c>
      <c r="B21" s="43" t="s">
        <v>57</v>
      </c>
      <c r="C21" s="44" t="s">
        <v>58</v>
      </c>
      <c r="D21" s="45">
        <v>950</v>
      </c>
      <c r="E21" s="46">
        <v>0</v>
      </c>
      <c r="F21" s="46">
        <v>1</v>
      </c>
      <c r="G21" s="72">
        <f t="shared" si="0"/>
        <v>1</v>
      </c>
      <c r="H21" s="66">
        <f t="shared" si="1"/>
        <v>0</v>
      </c>
      <c r="I21" s="67">
        <v>1</v>
      </c>
      <c r="J21" s="68">
        <v>1</v>
      </c>
      <c r="K21" s="69">
        <f>J21-I21</f>
        <v>0</v>
      </c>
      <c r="L21" s="70" t="s">
        <v>28</v>
      </c>
      <c r="M21" s="71">
        <f>K21*D21</f>
        <v>0</v>
      </c>
    </row>
    <row r="22" ht="22" customHeight="1" spans="1:13">
      <c r="A22" s="54" t="s">
        <v>59</v>
      </c>
      <c r="B22" s="55" t="s">
        <v>60</v>
      </c>
      <c r="C22" s="56" t="s">
        <v>58</v>
      </c>
      <c r="D22" s="57">
        <v>950</v>
      </c>
      <c r="E22" s="58">
        <v>0</v>
      </c>
      <c r="F22" s="58">
        <v>1</v>
      </c>
      <c r="G22" s="65">
        <f t="shared" si="0"/>
        <v>1</v>
      </c>
      <c r="H22" s="66">
        <f t="shared" si="1"/>
        <v>0</v>
      </c>
      <c r="I22" s="67">
        <v>1</v>
      </c>
      <c r="J22" s="68">
        <v>1</v>
      </c>
      <c r="K22" s="69">
        <f>J22-I22</f>
        <v>0</v>
      </c>
      <c r="L22" s="70" t="s">
        <v>28</v>
      </c>
      <c r="M22" s="71">
        <f>K22*D22</f>
        <v>0</v>
      </c>
    </row>
    <row r="23" ht="22" customHeight="1" spans="1:13">
      <c r="A23" s="42" t="s">
        <v>61</v>
      </c>
      <c r="B23" s="43" t="s">
        <v>62</v>
      </c>
      <c r="C23" s="44" t="s">
        <v>58</v>
      </c>
      <c r="D23" s="45">
        <v>950</v>
      </c>
      <c r="E23" s="46">
        <v>0</v>
      </c>
      <c r="F23" s="46">
        <v>1</v>
      </c>
      <c r="G23" s="72">
        <f t="shared" si="0"/>
        <v>1</v>
      </c>
      <c r="H23" s="66">
        <f t="shared" si="1"/>
        <v>0</v>
      </c>
      <c r="I23" s="60">
        <v>1</v>
      </c>
      <c r="J23" s="61" t="s">
        <v>63</v>
      </c>
      <c r="K23" s="62">
        <v>-0.06</v>
      </c>
      <c r="L23" s="63" t="s">
        <v>23</v>
      </c>
      <c r="M23" s="64">
        <v>-57</v>
      </c>
    </row>
    <row r="24" ht="24" customHeight="1" spans="1:13">
      <c r="A24" s="41" t="s">
        <v>64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  <row r="25" ht="22" customHeight="1" spans="1:13">
      <c r="A25" s="54" t="s">
        <v>65</v>
      </c>
      <c r="B25" s="55" t="s">
        <v>66</v>
      </c>
      <c r="C25" s="56" t="s">
        <v>67</v>
      </c>
      <c r="D25" s="57">
        <v>890</v>
      </c>
      <c r="E25" s="58">
        <v>1</v>
      </c>
      <c r="F25" s="58">
        <v>0</v>
      </c>
      <c r="G25" s="65">
        <f t="shared" ref="G25:G31" si="2">E25+F25</f>
        <v>1</v>
      </c>
      <c r="H25" s="66">
        <f t="shared" ref="H25:H31" si="3">G25-I25</f>
        <v>1</v>
      </c>
      <c r="I25" s="49">
        <v>0</v>
      </c>
      <c r="J25" s="50" t="s">
        <v>68</v>
      </c>
      <c r="K25" s="51">
        <v>0.02</v>
      </c>
      <c r="L25" s="52" t="s">
        <v>18</v>
      </c>
      <c r="M25" s="53">
        <v>17.8</v>
      </c>
    </row>
    <row r="26" ht="22" customHeight="1" spans="1:13">
      <c r="A26" s="42" t="s">
        <v>69</v>
      </c>
      <c r="B26" s="43" t="s">
        <v>70</v>
      </c>
      <c r="C26" s="44" t="s">
        <v>67</v>
      </c>
      <c r="D26" s="45">
        <v>690</v>
      </c>
      <c r="E26" s="46">
        <v>1</v>
      </c>
      <c r="F26" s="46">
        <v>0</v>
      </c>
      <c r="G26" s="72">
        <f t="shared" si="2"/>
        <v>1</v>
      </c>
      <c r="H26" s="66">
        <f t="shared" si="3"/>
        <v>0</v>
      </c>
      <c r="I26" s="67">
        <v>1</v>
      </c>
      <c r="J26" s="68">
        <v>1</v>
      </c>
      <c r="K26" s="69">
        <f>J26-I26</f>
        <v>0</v>
      </c>
      <c r="L26" s="70" t="s">
        <v>28</v>
      </c>
      <c r="M26" s="71">
        <f>K26*D26</f>
        <v>0</v>
      </c>
    </row>
    <row r="27" ht="22" customHeight="1" spans="1:13">
      <c r="A27" s="54" t="s">
        <v>71</v>
      </c>
      <c r="B27" s="55" t="s">
        <v>72</v>
      </c>
      <c r="C27" s="56" t="s">
        <v>67</v>
      </c>
      <c r="D27" s="57">
        <v>890</v>
      </c>
      <c r="E27" s="58">
        <v>1</v>
      </c>
      <c r="F27" s="58">
        <v>0</v>
      </c>
      <c r="G27" s="65">
        <f t="shared" si="2"/>
        <v>1</v>
      </c>
      <c r="H27" s="66">
        <f t="shared" si="3"/>
        <v>0.79</v>
      </c>
      <c r="I27" s="78">
        <v>0.21</v>
      </c>
      <c r="J27" s="61" t="s">
        <v>73</v>
      </c>
      <c r="K27" s="62">
        <v>-0.115</v>
      </c>
      <c r="L27" s="63" t="s">
        <v>23</v>
      </c>
      <c r="M27" s="64">
        <v>-102.35</v>
      </c>
    </row>
    <row r="28" ht="22" customHeight="1" spans="1:13">
      <c r="A28" s="42" t="s">
        <v>74</v>
      </c>
      <c r="B28" s="43" t="s">
        <v>75</v>
      </c>
      <c r="C28" s="44" t="s">
        <v>67</v>
      </c>
      <c r="D28" s="45">
        <v>690</v>
      </c>
      <c r="E28" s="46">
        <v>1</v>
      </c>
      <c r="F28" s="46">
        <v>0</v>
      </c>
      <c r="G28" s="72">
        <f t="shared" si="2"/>
        <v>1</v>
      </c>
      <c r="H28" s="66">
        <f t="shared" si="3"/>
        <v>0.1</v>
      </c>
      <c r="I28" s="79">
        <v>0.9</v>
      </c>
      <c r="J28" s="50" t="s">
        <v>76</v>
      </c>
      <c r="K28" s="51">
        <v>0.08</v>
      </c>
      <c r="L28" s="52" t="s">
        <v>18</v>
      </c>
      <c r="M28" s="53">
        <v>55.2</v>
      </c>
    </row>
    <row r="29" ht="22" customHeight="1" spans="1:13">
      <c r="A29" s="54" t="s">
        <v>77</v>
      </c>
      <c r="B29" s="55" t="s">
        <v>78</v>
      </c>
      <c r="C29" s="56" t="s">
        <v>67</v>
      </c>
      <c r="D29" s="57">
        <v>690</v>
      </c>
      <c r="E29" s="58">
        <v>1</v>
      </c>
      <c r="F29" s="58">
        <v>0</v>
      </c>
      <c r="G29" s="65">
        <f t="shared" si="2"/>
        <v>1</v>
      </c>
      <c r="H29" s="66">
        <f t="shared" si="3"/>
        <v>0</v>
      </c>
      <c r="I29" s="67">
        <v>1</v>
      </c>
      <c r="J29" s="68">
        <v>1</v>
      </c>
      <c r="K29" s="69">
        <f>J29-I29</f>
        <v>0</v>
      </c>
      <c r="L29" s="70" t="s">
        <v>28</v>
      </c>
      <c r="M29" s="71">
        <f>K29*D29</f>
        <v>0</v>
      </c>
    </row>
    <row r="30" ht="22" customHeight="1" spans="1:13">
      <c r="A30" s="42" t="s">
        <v>79</v>
      </c>
      <c r="B30" s="43" t="s">
        <v>80</v>
      </c>
      <c r="C30" s="44" t="s">
        <v>67</v>
      </c>
      <c r="D30" s="45">
        <v>690</v>
      </c>
      <c r="E30" s="46">
        <v>1</v>
      </c>
      <c r="F30" s="46">
        <v>0</v>
      </c>
      <c r="G30" s="72">
        <f t="shared" si="2"/>
        <v>1</v>
      </c>
      <c r="H30" s="66">
        <f t="shared" si="3"/>
        <v>0.1</v>
      </c>
      <c r="I30" s="78">
        <v>0.9</v>
      </c>
      <c r="J30" s="61" t="s">
        <v>81</v>
      </c>
      <c r="K30" s="62">
        <v>-0.153</v>
      </c>
      <c r="L30" s="63" t="s">
        <v>23</v>
      </c>
      <c r="M30" s="64">
        <v>-105.57</v>
      </c>
    </row>
    <row r="31" ht="22" customHeight="1" spans="1:13">
      <c r="A31" s="54" t="s">
        <v>82</v>
      </c>
      <c r="B31" s="55" t="s">
        <v>83</v>
      </c>
      <c r="C31" s="56" t="s">
        <v>67</v>
      </c>
      <c r="D31" s="57">
        <v>890</v>
      </c>
      <c r="E31" s="58">
        <v>1</v>
      </c>
      <c r="F31" s="58">
        <v>0</v>
      </c>
      <c r="G31" s="65">
        <f t="shared" si="2"/>
        <v>1</v>
      </c>
      <c r="H31" s="66">
        <f t="shared" si="3"/>
        <v>0.75</v>
      </c>
      <c r="I31" s="78">
        <v>0.25</v>
      </c>
      <c r="J31" s="61">
        <v>0</v>
      </c>
      <c r="K31" s="62">
        <f>J31-I31</f>
        <v>-0.25</v>
      </c>
      <c r="L31" s="63" t="s">
        <v>23</v>
      </c>
      <c r="M31" s="64">
        <f>K31*D31</f>
        <v>-222.5</v>
      </c>
    </row>
    <row r="32" ht="24" customHeight="1" spans="1:13">
      <c r="A32" s="41" t="s">
        <v>84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ht="22" customHeight="1" spans="1:13">
      <c r="A33" s="42" t="s">
        <v>85</v>
      </c>
      <c r="B33" s="43" t="s">
        <v>86</v>
      </c>
      <c r="C33" s="44" t="s">
        <v>87</v>
      </c>
      <c r="D33" s="45">
        <v>0.86</v>
      </c>
      <c r="E33" s="46">
        <v>0</v>
      </c>
      <c r="F33" s="46">
        <v>250</v>
      </c>
      <c r="G33" s="72">
        <f t="shared" ref="G33:G38" si="4">E33+F33</f>
        <v>250</v>
      </c>
      <c r="H33" s="48">
        <f t="shared" ref="H33:H38" si="5">G33-I33</f>
        <v>37</v>
      </c>
      <c r="I33" s="60">
        <v>213</v>
      </c>
      <c r="J33" s="61">
        <v>0</v>
      </c>
      <c r="K33" s="62">
        <f>J33-I33</f>
        <v>-213</v>
      </c>
      <c r="L33" s="63" t="s">
        <v>23</v>
      </c>
      <c r="M33" s="64">
        <f>K33*D33</f>
        <v>-183.18</v>
      </c>
    </row>
    <row r="34" ht="22" customHeight="1" spans="1:13">
      <c r="A34" s="54" t="s">
        <v>88</v>
      </c>
      <c r="B34" s="55" t="s">
        <v>89</v>
      </c>
      <c r="C34" s="56" t="s">
        <v>87</v>
      </c>
      <c r="D34" s="57">
        <v>0.86</v>
      </c>
      <c r="E34" s="58">
        <v>0</v>
      </c>
      <c r="F34" s="58">
        <v>400</v>
      </c>
      <c r="G34" s="65">
        <f t="shared" si="4"/>
        <v>400</v>
      </c>
      <c r="H34" s="48">
        <f t="shared" si="5"/>
        <v>199</v>
      </c>
      <c r="I34" s="49">
        <v>201</v>
      </c>
      <c r="J34" s="50" t="s">
        <v>90</v>
      </c>
      <c r="K34" s="51">
        <v>41.3</v>
      </c>
      <c r="L34" s="52" t="s">
        <v>18</v>
      </c>
      <c r="M34" s="53">
        <v>35.518</v>
      </c>
    </row>
    <row r="35" ht="22" customHeight="1" spans="1:13">
      <c r="A35" s="42" t="s">
        <v>91</v>
      </c>
      <c r="B35" s="43" t="s">
        <v>92</v>
      </c>
      <c r="C35" s="44" t="s">
        <v>17</v>
      </c>
      <c r="D35" s="45">
        <v>6</v>
      </c>
      <c r="E35" s="46">
        <v>0</v>
      </c>
      <c r="F35" s="46">
        <v>32</v>
      </c>
      <c r="G35" s="72">
        <f t="shared" si="4"/>
        <v>32</v>
      </c>
      <c r="H35" s="48">
        <f t="shared" si="5"/>
        <v>19</v>
      </c>
      <c r="I35" s="60">
        <v>13</v>
      </c>
      <c r="J35" s="61">
        <v>9</v>
      </c>
      <c r="K35" s="62">
        <f>J35-I35</f>
        <v>-4</v>
      </c>
      <c r="L35" s="63" t="s">
        <v>23</v>
      </c>
      <c r="M35" s="64">
        <f>K35*D35</f>
        <v>-24</v>
      </c>
    </row>
    <row r="36" ht="22" customHeight="1" spans="1:13">
      <c r="A36" s="54" t="s">
        <v>93</v>
      </c>
      <c r="B36" s="55" t="s">
        <v>94</v>
      </c>
      <c r="C36" s="56" t="s">
        <v>95</v>
      </c>
      <c r="D36" s="57">
        <v>94</v>
      </c>
      <c r="E36" s="58">
        <v>1</v>
      </c>
      <c r="F36" s="58">
        <v>10</v>
      </c>
      <c r="G36" s="65">
        <f t="shared" si="4"/>
        <v>11</v>
      </c>
      <c r="H36" s="48">
        <f t="shared" si="5"/>
        <v>8</v>
      </c>
      <c r="I36" s="60">
        <v>3</v>
      </c>
      <c r="J36" s="61" t="s">
        <v>96</v>
      </c>
      <c r="K36" s="62">
        <v>-2.35</v>
      </c>
      <c r="L36" s="63" t="s">
        <v>23</v>
      </c>
      <c r="M36" s="64">
        <v>-220.9</v>
      </c>
    </row>
    <row r="37" ht="22" customHeight="1" spans="1:13">
      <c r="A37" s="42" t="s">
        <v>97</v>
      </c>
      <c r="B37" s="43" t="s">
        <v>98</v>
      </c>
      <c r="C37" s="44" t="s">
        <v>87</v>
      </c>
      <c r="D37" s="45">
        <v>0.415</v>
      </c>
      <c r="E37" s="46">
        <v>0</v>
      </c>
      <c r="F37" s="46">
        <v>1000</v>
      </c>
      <c r="G37" s="72">
        <f t="shared" si="4"/>
        <v>1000</v>
      </c>
      <c r="H37" s="48">
        <f t="shared" si="5"/>
        <v>250.4</v>
      </c>
      <c r="I37" s="78">
        <v>749.6</v>
      </c>
      <c r="J37" s="61">
        <v>577</v>
      </c>
      <c r="K37" s="62">
        <f>J37-I37</f>
        <v>-172.6</v>
      </c>
      <c r="L37" s="63" t="s">
        <v>23</v>
      </c>
      <c r="M37" s="64">
        <f>K37*D37</f>
        <v>-71.629</v>
      </c>
    </row>
    <row r="38" ht="22" customHeight="1" spans="1:13">
      <c r="A38" s="54" t="s">
        <v>99</v>
      </c>
      <c r="B38" s="55" t="s">
        <v>100</v>
      </c>
      <c r="C38" s="56" t="s">
        <v>101</v>
      </c>
      <c r="D38" s="57">
        <v>44</v>
      </c>
      <c r="E38" s="58">
        <v>24</v>
      </c>
      <c r="F38" s="58">
        <v>0</v>
      </c>
      <c r="G38" s="65">
        <f t="shared" si="4"/>
        <v>24</v>
      </c>
      <c r="H38" s="48">
        <f t="shared" si="5"/>
        <v>11.47</v>
      </c>
      <c r="I38" s="78">
        <v>12.53</v>
      </c>
      <c r="J38" s="61" t="s">
        <v>102</v>
      </c>
      <c r="K38" s="62">
        <v>-11.77</v>
      </c>
      <c r="L38" s="63" t="s">
        <v>23</v>
      </c>
      <c r="M38" s="64">
        <v>-517.88</v>
      </c>
    </row>
    <row r="39" ht="24" customHeight="1" spans="1:13">
      <c r="A39" s="41" t="s">
        <v>103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ht="22" customHeight="1" spans="1:13">
      <c r="A40" s="42" t="s">
        <v>104</v>
      </c>
      <c r="B40" s="43" t="s">
        <v>105</v>
      </c>
      <c r="C40" s="44" t="s">
        <v>87</v>
      </c>
      <c r="D40" s="45">
        <v>0.385</v>
      </c>
      <c r="E40" s="46">
        <v>0</v>
      </c>
      <c r="F40" s="46">
        <v>454</v>
      </c>
      <c r="G40" s="72">
        <f t="shared" ref="G40:G46" si="6">E40+F40</f>
        <v>454</v>
      </c>
      <c r="H40" s="48">
        <f t="shared" ref="H40:H46" si="7">G40-I40</f>
        <v>158</v>
      </c>
      <c r="I40" s="60">
        <v>296</v>
      </c>
      <c r="J40" s="61">
        <v>250.2</v>
      </c>
      <c r="K40" s="62">
        <f>J40-I40</f>
        <v>-45.8</v>
      </c>
      <c r="L40" s="63" t="s">
        <v>23</v>
      </c>
      <c r="M40" s="64">
        <f>K40*D40</f>
        <v>-17.633</v>
      </c>
    </row>
    <row r="41" ht="22" customHeight="1" spans="1:13">
      <c r="A41" s="54" t="s">
        <v>106</v>
      </c>
      <c r="B41" s="55" t="s">
        <v>107</v>
      </c>
      <c r="C41" s="56" t="s">
        <v>87</v>
      </c>
      <c r="D41" s="57">
        <v>0.305</v>
      </c>
      <c r="E41" s="58">
        <v>0</v>
      </c>
      <c r="F41" s="58">
        <v>1000</v>
      </c>
      <c r="G41" s="65">
        <f t="shared" si="6"/>
        <v>1000</v>
      </c>
      <c r="H41" s="48">
        <f t="shared" si="7"/>
        <v>103</v>
      </c>
      <c r="I41" s="60">
        <v>897</v>
      </c>
      <c r="J41" s="61">
        <v>795</v>
      </c>
      <c r="K41" s="62">
        <f>J41-I41</f>
        <v>-102</v>
      </c>
      <c r="L41" s="63" t="s">
        <v>23</v>
      </c>
      <c r="M41" s="64">
        <f>K41*D41</f>
        <v>-31.11</v>
      </c>
    </row>
    <row r="42" ht="22" customHeight="1" spans="1:13">
      <c r="A42" s="42" t="s">
        <v>108</v>
      </c>
      <c r="B42" s="43" t="s">
        <v>109</v>
      </c>
      <c r="C42" s="44" t="s">
        <v>87</v>
      </c>
      <c r="D42" s="45">
        <v>1.2</v>
      </c>
      <c r="E42" s="46">
        <v>0</v>
      </c>
      <c r="F42" s="46">
        <v>300</v>
      </c>
      <c r="G42" s="72">
        <f t="shared" si="6"/>
        <v>300</v>
      </c>
      <c r="H42" s="48">
        <f t="shared" si="7"/>
        <v>199</v>
      </c>
      <c r="I42" s="60">
        <v>101</v>
      </c>
      <c r="J42" s="61">
        <v>66.9</v>
      </c>
      <c r="K42" s="62">
        <f>J42-I42</f>
        <v>-34.1</v>
      </c>
      <c r="L42" s="63" t="s">
        <v>23</v>
      </c>
      <c r="M42" s="64">
        <f>K42*D42</f>
        <v>-40.92</v>
      </c>
    </row>
    <row r="43" ht="22" customHeight="1" spans="1:13">
      <c r="A43" s="54" t="s">
        <v>110</v>
      </c>
      <c r="B43" s="55" t="s">
        <v>111</v>
      </c>
      <c r="C43" s="56" t="s">
        <v>87</v>
      </c>
      <c r="D43" s="57">
        <v>0.733</v>
      </c>
      <c r="E43" s="58">
        <v>0</v>
      </c>
      <c r="F43" s="58">
        <v>600</v>
      </c>
      <c r="G43" s="65">
        <f t="shared" si="6"/>
        <v>600</v>
      </c>
      <c r="H43" s="48">
        <f t="shared" si="7"/>
        <v>-98</v>
      </c>
      <c r="I43" s="60">
        <v>698</v>
      </c>
      <c r="J43" s="61">
        <v>598</v>
      </c>
      <c r="K43" s="62">
        <f>J43-I43</f>
        <v>-100</v>
      </c>
      <c r="L43" s="63" t="s">
        <v>23</v>
      </c>
      <c r="M43" s="64">
        <f>K43*D43</f>
        <v>-73.3</v>
      </c>
    </row>
    <row r="44" ht="22" customHeight="1" spans="1:13">
      <c r="A44" s="42" t="s">
        <v>112</v>
      </c>
      <c r="B44" s="43" t="s">
        <v>113</v>
      </c>
      <c r="C44" s="44" t="s">
        <v>87</v>
      </c>
      <c r="D44" s="45">
        <v>1.28</v>
      </c>
      <c r="E44" s="46">
        <v>0</v>
      </c>
      <c r="F44" s="46">
        <v>600</v>
      </c>
      <c r="G44" s="72">
        <f t="shared" si="6"/>
        <v>600</v>
      </c>
      <c r="H44" s="48">
        <f t="shared" si="7"/>
        <v>3</v>
      </c>
      <c r="I44" s="60">
        <v>597</v>
      </c>
      <c r="J44" s="61">
        <v>457</v>
      </c>
      <c r="K44" s="62">
        <f>J44-I44</f>
        <v>-140</v>
      </c>
      <c r="L44" s="63" t="s">
        <v>23</v>
      </c>
      <c r="M44" s="64">
        <f>K44*D44</f>
        <v>-179.2</v>
      </c>
    </row>
    <row r="45" ht="22" customHeight="1" spans="1:13">
      <c r="A45" s="54" t="s">
        <v>114</v>
      </c>
      <c r="B45" s="55" t="s">
        <v>115</v>
      </c>
      <c r="C45" s="56" t="s">
        <v>87</v>
      </c>
      <c r="D45" s="57">
        <v>0.396</v>
      </c>
      <c r="E45" s="58">
        <v>1000</v>
      </c>
      <c r="F45" s="58">
        <v>1000</v>
      </c>
      <c r="G45" s="65">
        <f t="shared" si="6"/>
        <v>2000</v>
      </c>
      <c r="H45" s="48">
        <f t="shared" si="7"/>
        <v>388</v>
      </c>
      <c r="I45" s="60">
        <v>1612</v>
      </c>
      <c r="J45" s="61" t="s">
        <v>116</v>
      </c>
      <c r="K45" s="62">
        <v>-612</v>
      </c>
      <c r="L45" s="63" t="s">
        <v>23</v>
      </c>
      <c r="M45" s="64">
        <v>-242.352</v>
      </c>
    </row>
    <row r="46" ht="22" customHeight="1" spans="1:13">
      <c r="A46" s="42" t="s">
        <v>117</v>
      </c>
      <c r="B46" s="43" t="s">
        <v>118</v>
      </c>
      <c r="C46" s="44" t="s">
        <v>87</v>
      </c>
      <c r="D46" s="45">
        <v>0.4</v>
      </c>
      <c r="E46" s="46">
        <v>0</v>
      </c>
      <c r="F46" s="46">
        <v>1000</v>
      </c>
      <c r="G46" s="72">
        <f t="shared" si="6"/>
        <v>1000</v>
      </c>
      <c r="H46" s="48">
        <f t="shared" si="7"/>
        <v>552</v>
      </c>
      <c r="I46" s="60">
        <v>448</v>
      </c>
      <c r="J46" s="61" t="s">
        <v>102</v>
      </c>
      <c r="K46" s="62">
        <v>-152.1</v>
      </c>
      <c r="L46" s="63" t="s">
        <v>23</v>
      </c>
      <c r="M46" s="64">
        <v>-60.84</v>
      </c>
    </row>
    <row r="47" ht="24" customHeight="1" spans="1:13">
      <c r="A47" s="41" t="s">
        <v>119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</row>
    <row r="48" ht="22" customHeight="1" spans="1:13">
      <c r="A48" s="54" t="s">
        <v>120</v>
      </c>
      <c r="B48" s="55" t="s">
        <v>121</v>
      </c>
      <c r="C48" s="56" t="s">
        <v>122</v>
      </c>
      <c r="D48" s="57">
        <v>45</v>
      </c>
      <c r="E48" s="58">
        <v>0</v>
      </c>
      <c r="F48" s="58">
        <v>100</v>
      </c>
      <c r="G48" s="59">
        <f t="shared" ref="G48:G53" si="8">E48+F48</f>
        <v>100</v>
      </c>
      <c r="H48" s="66">
        <f t="shared" ref="H48:H53" si="9">G48-I48</f>
        <v>0</v>
      </c>
      <c r="I48" s="67">
        <v>100</v>
      </c>
      <c r="J48" s="68">
        <v>100</v>
      </c>
      <c r="K48" s="69">
        <f t="shared" ref="K48:K53" si="10">J48-I48</f>
        <v>0</v>
      </c>
      <c r="L48" s="70" t="s">
        <v>28</v>
      </c>
      <c r="M48" s="71">
        <f t="shared" ref="M48:M53" si="11">K48*D48</f>
        <v>0</v>
      </c>
    </row>
    <row r="49" ht="22" customHeight="1" spans="1:13">
      <c r="A49" s="42" t="s">
        <v>123</v>
      </c>
      <c r="B49" s="43" t="s">
        <v>124</v>
      </c>
      <c r="C49" s="44" t="s">
        <v>122</v>
      </c>
      <c r="D49" s="45">
        <v>45</v>
      </c>
      <c r="E49" s="46">
        <v>0</v>
      </c>
      <c r="F49" s="46">
        <v>100</v>
      </c>
      <c r="G49" s="47">
        <f t="shared" si="8"/>
        <v>100</v>
      </c>
      <c r="H49" s="66">
        <f t="shared" si="9"/>
        <v>7</v>
      </c>
      <c r="I49" s="67">
        <v>93</v>
      </c>
      <c r="J49" s="68">
        <v>93</v>
      </c>
      <c r="K49" s="69">
        <f t="shared" si="10"/>
        <v>0</v>
      </c>
      <c r="L49" s="70" t="s">
        <v>28</v>
      </c>
      <c r="M49" s="71">
        <f t="shared" si="11"/>
        <v>0</v>
      </c>
    </row>
    <row r="50" ht="22" customHeight="1" spans="1:13">
      <c r="A50" s="54" t="s">
        <v>125</v>
      </c>
      <c r="B50" s="55" t="s">
        <v>126</v>
      </c>
      <c r="C50" s="56" t="s">
        <v>122</v>
      </c>
      <c r="D50" s="57">
        <v>45</v>
      </c>
      <c r="E50" s="58">
        <v>0</v>
      </c>
      <c r="F50" s="58">
        <v>100</v>
      </c>
      <c r="G50" s="59">
        <f t="shared" si="8"/>
        <v>100</v>
      </c>
      <c r="H50" s="66">
        <f t="shared" si="9"/>
        <v>2</v>
      </c>
      <c r="I50" s="67">
        <v>98</v>
      </c>
      <c r="J50" s="68">
        <v>98</v>
      </c>
      <c r="K50" s="69">
        <f t="shared" si="10"/>
        <v>0</v>
      </c>
      <c r="L50" s="70" t="s">
        <v>28</v>
      </c>
      <c r="M50" s="71">
        <f t="shared" si="11"/>
        <v>0</v>
      </c>
    </row>
    <row r="51" ht="22" customHeight="1" spans="1:13">
      <c r="A51" s="42" t="s">
        <v>127</v>
      </c>
      <c r="B51" s="43" t="s">
        <v>128</v>
      </c>
      <c r="C51" s="44" t="s">
        <v>122</v>
      </c>
      <c r="D51" s="45">
        <v>45</v>
      </c>
      <c r="E51" s="46">
        <v>0</v>
      </c>
      <c r="F51" s="46">
        <v>100</v>
      </c>
      <c r="G51" s="47">
        <f t="shared" si="8"/>
        <v>100</v>
      </c>
      <c r="H51" s="66">
        <f t="shared" si="9"/>
        <v>0</v>
      </c>
      <c r="I51" s="67">
        <v>100</v>
      </c>
      <c r="J51" s="68">
        <v>100</v>
      </c>
      <c r="K51" s="69">
        <f t="shared" si="10"/>
        <v>0</v>
      </c>
      <c r="L51" s="70" t="s">
        <v>28</v>
      </c>
      <c r="M51" s="71">
        <f t="shared" si="11"/>
        <v>0</v>
      </c>
    </row>
    <row r="52" ht="22" customHeight="1" spans="1:13">
      <c r="A52" s="54" t="s">
        <v>129</v>
      </c>
      <c r="B52" s="55" t="s">
        <v>130</v>
      </c>
      <c r="C52" s="56" t="s">
        <v>122</v>
      </c>
      <c r="D52" s="57">
        <v>45</v>
      </c>
      <c r="E52" s="58">
        <v>0</v>
      </c>
      <c r="F52" s="58">
        <v>100</v>
      </c>
      <c r="G52" s="59">
        <f t="shared" si="8"/>
        <v>100</v>
      </c>
      <c r="H52" s="66">
        <f t="shared" si="9"/>
        <v>0</v>
      </c>
      <c r="I52" s="67">
        <v>100</v>
      </c>
      <c r="J52" s="68">
        <v>100</v>
      </c>
      <c r="K52" s="69">
        <f t="shared" si="10"/>
        <v>0</v>
      </c>
      <c r="L52" s="70" t="s">
        <v>28</v>
      </c>
      <c r="M52" s="71">
        <f t="shared" si="11"/>
        <v>0</v>
      </c>
    </row>
    <row r="53" ht="22" customHeight="1" spans="1:13">
      <c r="A53" s="42" t="s">
        <v>131</v>
      </c>
      <c r="B53" s="43" t="s">
        <v>132</v>
      </c>
      <c r="C53" s="44" t="s">
        <v>122</v>
      </c>
      <c r="D53" s="45">
        <v>45</v>
      </c>
      <c r="E53" s="46">
        <v>0</v>
      </c>
      <c r="F53" s="46">
        <v>100</v>
      </c>
      <c r="G53" s="47">
        <f t="shared" si="8"/>
        <v>100</v>
      </c>
      <c r="H53" s="66">
        <f t="shared" si="9"/>
        <v>0</v>
      </c>
      <c r="I53" s="67">
        <v>100</v>
      </c>
      <c r="J53" s="68">
        <v>100</v>
      </c>
      <c r="K53" s="69">
        <f t="shared" si="10"/>
        <v>0</v>
      </c>
      <c r="L53" s="70" t="s">
        <v>28</v>
      </c>
      <c r="M53" s="71">
        <f t="shared" si="11"/>
        <v>0</v>
      </c>
    </row>
    <row r="54" ht="24" customHeight="1" spans="1:13">
      <c r="A54" s="41" t="s">
        <v>133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</row>
    <row r="55" ht="22" customHeight="1" spans="1:13">
      <c r="A55" s="54" t="s">
        <v>134</v>
      </c>
      <c r="B55" s="55" t="s">
        <v>135</v>
      </c>
      <c r="C55" s="56" t="s">
        <v>101</v>
      </c>
      <c r="D55" s="57">
        <v>98</v>
      </c>
      <c r="E55" s="58">
        <v>0</v>
      </c>
      <c r="F55" s="58">
        <v>3</v>
      </c>
      <c r="G55" s="59">
        <f>E55+F55</f>
        <v>3</v>
      </c>
      <c r="H55" s="66">
        <f>G55-I55</f>
        <v>0</v>
      </c>
      <c r="I55" s="67">
        <v>3</v>
      </c>
      <c r="J55" s="68">
        <v>3</v>
      </c>
      <c r="K55" s="69">
        <f>J55-I55</f>
        <v>0</v>
      </c>
      <c r="L55" s="70" t="s">
        <v>28</v>
      </c>
      <c r="M55" s="71">
        <f>K55*D55</f>
        <v>0</v>
      </c>
    </row>
    <row r="56" ht="22" customHeight="1" spans="1:13">
      <c r="A56" s="42" t="s">
        <v>136</v>
      </c>
      <c r="B56" s="43" t="s">
        <v>137</v>
      </c>
      <c r="C56" s="44" t="s">
        <v>101</v>
      </c>
      <c r="D56" s="45">
        <v>98</v>
      </c>
      <c r="E56" s="46">
        <v>0</v>
      </c>
      <c r="F56" s="46">
        <v>3</v>
      </c>
      <c r="G56" s="47">
        <f>E56+F56</f>
        <v>3</v>
      </c>
      <c r="H56" s="66">
        <f>G56-I56</f>
        <v>0</v>
      </c>
      <c r="I56" s="67">
        <v>3</v>
      </c>
      <c r="J56" s="68">
        <v>3</v>
      </c>
      <c r="K56" s="69">
        <f>J56-I56</f>
        <v>0</v>
      </c>
      <c r="L56" s="70" t="s">
        <v>28</v>
      </c>
      <c r="M56" s="71">
        <f>K56*D56</f>
        <v>0</v>
      </c>
    </row>
    <row r="57" ht="22" customHeight="1" spans="1:13">
      <c r="A57" s="54" t="s">
        <v>138</v>
      </c>
      <c r="B57" s="55" t="s">
        <v>139</v>
      </c>
      <c r="C57" s="56" t="s">
        <v>101</v>
      </c>
      <c r="D57" s="57">
        <v>98</v>
      </c>
      <c r="E57" s="58">
        <v>0</v>
      </c>
      <c r="F57" s="58">
        <v>3</v>
      </c>
      <c r="G57" s="59">
        <f>E57+F57</f>
        <v>3</v>
      </c>
      <c r="H57" s="66">
        <f>G57-I57</f>
        <v>3</v>
      </c>
      <c r="I57" s="67">
        <v>0</v>
      </c>
      <c r="J57" s="68">
        <v>0</v>
      </c>
      <c r="K57" s="69">
        <f>J57-I57</f>
        <v>0</v>
      </c>
      <c r="L57" s="70" t="s">
        <v>28</v>
      </c>
      <c r="M57" s="71">
        <f>K57*D57</f>
        <v>0</v>
      </c>
    </row>
    <row r="58" ht="22" customHeight="1" spans="1:13">
      <c r="A58" s="42" t="s">
        <v>140</v>
      </c>
      <c r="B58" s="43" t="s">
        <v>141</v>
      </c>
      <c r="C58" s="44" t="s">
        <v>142</v>
      </c>
      <c r="D58" s="45">
        <v>98</v>
      </c>
      <c r="E58" s="46">
        <v>0</v>
      </c>
      <c r="F58" s="46">
        <v>3</v>
      </c>
      <c r="G58" s="47">
        <f>E58+F58</f>
        <v>3</v>
      </c>
      <c r="H58" s="66">
        <f>G58-I58</f>
        <v>0</v>
      </c>
      <c r="I58" s="67">
        <v>3</v>
      </c>
      <c r="J58" s="68">
        <v>3</v>
      </c>
      <c r="K58" s="69">
        <f>J58-I58</f>
        <v>0</v>
      </c>
      <c r="L58" s="70" t="s">
        <v>28</v>
      </c>
      <c r="M58" s="71">
        <f>K58*D58</f>
        <v>0</v>
      </c>
    </row>
    <row r="59" ht="22" customHeight="1" spans="1:13">
      <c r="A59" s="54" t="s">
        <v>143</v>
      </c>
      <c r="B59" s="55" t="s">
        <v>144</v>
      </c>
      <c r="C59" s="56" t="s">
        <v>145</v>
      </c>
      <c r="D59" s="57">
        <v>85</v>
      </c>
      <c r="E59" s="58">
        <v>0</v>
      </c>
      <c r="F59" s="58">
        <v>32</v>
      </c>
      <c r="G59" s="59">
        <f>E59+F59</f>
        <v>32</v>
      </c>
      <c r="H59" s="66">
        <f>G59-I59</f>
        <v>0</v>
      </c>
      <c r="I59" s="67">
        <v>32</v>
      </c>
      <c r="J59" s="68">
        <v>32</v>
      </c>
      <c r="K59" s="69">
        <f>J59-I59</f>
        <v>0</v>
      </c>
      <c r="L59" s="70" t="s">
        <v>28</v>
      </c>
      <c r="M59" s="71">
        <f>K59*D59</f>
        <v>0</v>
      </c>
    </row>
    <row r="60" ht="24" customHeight="1" spans="1:13">
      <c r="A60" s="41" t="s">
        <v>146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</row>
    <row r="61" ht="22" customHeight="1" spans="1:13">
      <c r="A61" s="42" t="s">
        <v>147</v>
      </c>
      <c r="B61" s="43" t="s">
        <v>148</v>
      </c>
      <c r="C61" s="44" t="s">
        <v>101</v>
      </c>
      <c r="D61" s="45">
        <v>35</v>
      </c>
      <c r="E61" s="46">
        <v>0</v>
      </c>
      <c r="F61" s="46">
        <v>24</v>
      </c>
      <c r="G61" s="47">
        <f t="shared" ref="G61:G71" si="12">E61+F61</f>
        <v>24</v>
      </c>
      <c r="H61" s="48">
        <f t="shared" ref="H61:H71" si="13">G61-I61</f>
        <v>5</v>
      </c>
      <c r="I61" s="49">
        <v>19</v>
      </c>
      <c r="J61" s="50">
        <v>20</v>
      </c>
      <c r="K61" s="51">
        <f>J61-I61</f>
        <v>1</v>
      </c>
      <c r="L61" s="52" t="s">
        <v>18</v>
      </c>
      <c r="M61" s="53">
        <f>K61*D61</f>
        <v>35</v>
      </c>
    </row>
    <row r="62" ht="22" customHeight="1" spans="1:13">
      <c r="A62" s="54" t="s">
        <v>149</v>
      </c>
      <c r="B62" s="55" t="s">
        <v>150</v>
      </c>
      <c r="C62" s="56" t="s">
        <v>101</v>
      </c>
      <c r="D62" s="57">
        <v>35</v>
      </c>
      <c r="E62" s="58">
        <v>0</v>
      </c>
      <c r="F62" s="58">
        <v>24</v>
      </c>
      <c r="G62" s="59">
        <f t="shared" si="12"/>
        <v>24</v>
      </c>
      <c r="H62" s="48">
        <f t="shared" si="13"/>
        <v>0</v>
      </c>
      <c r="I62" s="67">
        <v>24</v>
      </c>
      <c r="J62" s="68">
        <v>24</v>
      </c>
      <c r="K62" s="69">
        <f>J62-I62</f>
        <v>0</v>
      </c>
      <c r="L62" s="70" t="s">
        <v>28</v>
      </c>
      <c r="M62" s="71">
        <f>K62*D62</f>
        <v>0</v>
      </c>
    </row>
    <row r="63" ht="22" customHeight="1" spans="1:13">
      <c r="A63" s="42" t="s">
        <v>151</v>
      </c>
      <c r="B63" s="43" t="s">
        <v>152</v>
      </c>
      <c r="C63" s="44" t="s">
        <v>101</v>
      </c>
      <c r="D63" s="45">
        <v>35</v>
      </c>
      <c r="E63" s="46">
        <v>0</v>
      </c>
      <c r="F63" s="46">
        <v>24</v>
      </c>
      <c r="G63" s="47">
        <f t="shared" si="12"/>
        <v>24</v>
      </c>
      <c r="H63" s="48">
        <f t="shared" si="13"/>
        <v>3</v>
      </c>
      <c r="I63" s="67">
        <v>21</v>
      </c>
      <c r="J63" s="68">
        <v>21</v>
      </c>
      <c r="K63" s="69">
        <f>J63-I63</f>
        <v>0</v>
      </c>
      <c r="L63" s="70" t="s">
        <v>28</v>
      </c>
      <c r="M63" s="71">
        <f>K63*D63</f>
        <v>0</v>
      </c>
    </row>
    <row r="64" ht="22" customHeight="1" spans="1:13">
      <c r="A64" s="54" t="s">
        <v>153</v>
      </c>
      <c r="B64" s="55" t="s">
        <v>154</v>
      </c>
      <c r="C64" s="56" t="s">
        <v>95</v>
      </c>
      <c r="D64" s="57">
        <v>69.5</v>
      </c>
      <c r="E64" s="58">
        <v>4</v>
      </c>
      <c r="F64" s="58">
        <v>6</v>
      </c>
      <c r="G64" s="65">
        <f t="shared" si="12"/>
        <v>10</v>
      </c>
      <c r="H64" s="48">
        <f t="shared" si="13"/>
        <v>8.5</v>
      </c>
      <c r="I64" s="78">
        <v>1.5</v>
      </c>
      <c r="J64" s="61" t="s">
        <v>155</v>
      </c>
      <c r="K64" s="62">
        <v>-0.6</v>
      </c>
      <c r="L64" s="63" t="s">
        <v>23</v>
      </c>
      <c r="M64" s="64">
        <v>-41.7</v>
      </c>
    </row>
    <row r="65" ht="22" customHeight="1" spans="1:13">
      <c r="A65" s="42" t="s">
        <v>156</v>
      </c>
      <c r="B65" s="43" t="s">
        <v>157</v>
      </c>
      <c r="C65" s="44" t="s">
        <v>95</v>
      </c>
      <c r="D65" s="45">
        <v>12</v>
      </c>
      <c r="E65" s="46">
        <v>0</v>
      </c>
      <c r="F65" s="46">
        <v>35</v>
      </c>
      <c r="G65" s="47">
        <f t="shared" si="12"/>
        <v>35</v>
      </c>
      <c r="H65" s="48">
        <f t="shared" si="13"/>
        <v>35</v>
      </c>
      <c r="I65" s="49">
        <v>0</v>
      </c>
      <c r="J65" s="50">
        <v>70</v>
      </c>
      <c r="K65" s="51">
        <f t="shared" ref="K65:K71" si="14">J65-I65</f>
        <v>70</v>
      </c>
      <c r="L65" s="52" t="s">
        <v>18</v>
      </c>
      <c r="M65" s="53">
        <f t="shared" ref="M65:M71" si="15">K65*D65</f>
        <v>840</v>
      </c>
    </row>
    <row r="66" ht="22" customHeight="1" spans="1:13">
      <c r="A66" s="54" t="s">
        <v>158</v>
      </c>
      <c r="B66" s="55" t="s">
        <v>159</v>
      </c>
      <c r="C66" s="56" t="s">
        <v>95</v>
      </c>
      <c r="D66" s="57">
        <v>18</v>
      </c>
      <c r="E66" s="58">
        <v>0</v>
      </c>
      <c r="F66" s="58">
        <v>20</v>
      </c>
      <c r="G66" s="59">
        <f t="shared" si="12"/>
        <v>20</v>
      </c>
      <c r="H66" s="48">
        <f t="shared" si="13"/>
        <v>5</v>
      </c>
      <c r="I66" s="67">
        <v>15</v>
      </c>
      <c r="J66" s="68">
        <v>15</v>
      </c>
      <c r="K66" s="69">
        <f t="shared" si="14"/>
        <v>0</v>
      </c>
      <c r="L66" s="70" t="s">
        <v>28</v>
      </c>
      <c r="M66" s="71">
        <f t="shared" si="15"/>
        <v>0</v>
      </c>
    </row>
    <row r="67" ht="22" customHeight="1" spans="1:13">
      <c r="A67" s="42" t="s">
        <v>160</v>
      </c>
      <c r="B67" s="43" t="s">
        <v>161</v>
      </c>
      <c r="C67" s="44" t="s">
        <v>95</v>
      </c>
      <c r="D67" s="45">
        <v>55</v>
      </c>
      <c r="E67" s="46">
        <v>0</v>
      </c>
      <c r="F67" s="46">
        <v>48</v>
      </c>
      <c r="G67" s="47">
        <f t="shared" si="12"/>
        <v>48</v>
      </c>
      <c r="H67" s="48">
        <f t="shared" si="13"/>
        <v>9</v>
      </c>
      <c r="I67" s="67">
        <v>39</v>
      </c>
      <c r="J67" s="68">
        <v>39</v>
      </c>
      <c r="K67" s="69">
        <f t="shared" si="14"/>
        <v>0</v>
      </c>
      <c r="L67" s="70" t="s">
        <v>28</v>
      </c>
      <c r="M67" s="71">
        <f t="shared" si="15"/>
        <v>0</v>
      </c>
    </row>
    <row r="68" ht="22" customHeight="1" spans="1:13">
      <c r="A68" s="54" t="s">
        <v>162</v>
      </c>
      <c r="B68" s="55" t="s">
        <v>163</v>
      </c>
      <c r="C68" s="56" t="s">
        <v>95</v>
      </c>
      <c r="D68" s="57">
        <v>52</v>
      </c>
      <c r="E68" s="58">
        <v>0</v>
      </c>
      <c r="F68" s="58">
        <v>48</v>
      </c>
      <c r="G68" s="59">
        <f t="shared" si="12"/>
        <v>48</v>
      </c>
      <c r="H68" s="48">
        <f t="shared" si="13"/>
        <v>4</v>
      </c>
      <c r="I68" s="49">
        <v>44</v>
      </c>
      <c r="J68" s="50">
        <v>46</v>
      </c>
      <c r="K68" s="51">
        <f t="shared" si="14"/>
        <v>2</v>
      </c>
      <c r="L68" s="52" t="s">
        <v>18</v>
      </c>
      <c r="M68" s="53">
        <f t="shared" si="15"/>
        <v>104</v>
      </c>
    </row>
    <row r="69" ht="22" customHeight="1" spans="1:13">
      <c r="A69" s="42" t="s">
        <v>164</v>
      </c>
      <c r="B69" s="43" t="s">
        <v>165</v>
      </c>
      <c r="C69" s="44" t="s">
        <v>95</v>
      </c>
      <c r="D69" s="45">
        <v>48</v>
      </c>
      <c r="E69" s="46">
        <v>0</v>
      </c>
      <c r="F69" s="46">
        <v>24</v>
      </c>
      <c r="G69" s="47">
        <f t="shared" si="12"/>
        <v>24</v>
      </c>
      <c r="H69" s="48">
        <f t="shared" si="13"/>
        <v>2</v>
      </c>
      <c r="I69" s="49">
        <v>22</v>
      </c>
      <c r="J69" s="50">
        <v>24</v>
      </c>
      <c r="K69" s="51">
        <f t="shared" si="14"/>
        <v>2</v>
      </c>
      <c r="L69" s="52" t="s">
        <v>18</v>
      </c>
      <c r="M69" s="53">
        <f t="shared" si="15"/>
        <v>96</v>
      </c>
    </row>
    <row r="70" ht="22" customHeight="1" spans="1:13">
      <c r="A70" s="54" t="s">
        <v>166</v>
      </c>
      <c r="B70" s="55" t="s">
        <v>167</v>
      </c>
      <c r="C70" s="56" t="s">
        <v>95</v>
      </c>
      <c r="D70" s="57">
        <v>95</v>
      </c>
      <c r="E70" s="58">
        <v>0</v>
      </c>
      <c r="F70" s="58">
        <v>6</v>
      </c>
      <c r="G70" s="59">
        <f t="shared" si="12"/>
        <v>6</v>
      </c>
      <c r="H70" s="48">
        <f t="shared" si="13"/>
        <v>0</v>
      </c>
      <c r="I70" s="67">
        <v>6</v>
      </c>
      <c r="J70" s="68">
        <v>6</v>
      </c>
      <c r="K70" s="69">
        <f t="shared" si="14"/>
        <v>0</v>
      </c>
      <c r="L70" s="70" t="s">
        <v>28</v>
      </c>
      <c r="M70" s="71">
        <f t="shared" si="15"/>
        <v>0</v>
      </c>
    </row>
    <row r="71" ht="22" customHeight="1" spans="1:13">
      <c r="A71" s="42" t="s">
        <v>168</v>
      </c>
      <c r="B71" s="43" t="s">
        <v>169</v>
      </c>
      <c r="C71" s="44" t="s">
        <v>95</v>
      </c>
      <c r="D71" s="45">
        <v>110</v>
      </c>
      <c r="E71" s="46">
        <v>0</v>
      </c>
      <c r="F71" s="46">
        <v>4</v>
      </c>
      <c r="G71" s="47">
        <f t="shared" si="12"/>
        <v>4</v>
      </c>
      <c r="H71" s="48">
        <f t="shared" si="13"/>
        <v>0</v>
      </c>
      <c r="I71" s="67">
        <v>4</v>
      </c>
      <c r="J71" s="68">
        <v>4</v>
      </c>
      <c r="K71" s="69">
        <f t="shared" si="14"/>
        <v>0</v>
      </c>
      <c r="L71" s="70" t="s">
        <v>28</v>
      </c>
      <c r="M71" s="71">
        <f t="shared" si="15"/>
        <v>0</v>
      </c>
    </row>
    <row r="76" spans="1:13">
      <c r="B76" t="s">
        <v>170</v>
      </c>
      <c r="C76" t="s">
        <v>171</v>
      </c>
      <c r="D76" t="s">
        <v>172</v>
      </c>
      <c r="E76" t="s">
        <v>173</v>
      </c>
    </row>
    <row r="77" spans="1:13">
      <c r="B77" t="s">
        <v>174</v>
      </c>
      <c r="C77">
        <v>3</v>
      </c>
      <c r="D77" s="80" t="s">
        <v>175</v>
      </c>
      <c r="E77" s="80" t="s">
        <v>176</v>
      </c>
    </row>
    <row r="78" spans="1:13">
      <c r="B78" t="s">
        <v>154</v>
      </c>
      <c r="C78" t="s">
        <v>155</v>
      </c>
      <c r="D78" s="80" t="s">
        <v>177</v>
      </c>
      <c r="E78" s="80" t="s">
        <v>176</v>
      </c>
    </row>
    <row r="79" spans="1:13">
      <c r="B79" t="s">
        <v>66</v>
      </c>
      <c r="C79" t="s">
        <v>178</v>
      </c>
      <c r="D79" s="80" t="s">
        <v>179</v>
      </c>
      <c r="E79" s="80" t="s">
        <v>176</v>
      </c>
      <c r="F79" t="s">
        <v>180</v>
      </c>
    </row>
    <row r="80" spans="1:13">
      <c r="B80" t="s">
        <v>181</v>
      </c>
      <c r="D80" t="s">
        <v>182</v>
      </c>
      <c r="E80" s="80" t="s">
        <v>176</v>
      </c>
      <c r="F80" t="s">
        <v>183</v>
      </c>
    </row>
    <row r="81" spans="2:7">
      <c r="B81" t="s">
        <v>184</v>
      </c>
      <c r="D81" t="s">
        <v>185</v>
      </c>
      <c r="E81" s="80" t="s">
        <v>176</v>
      </c>
      <c r="F81" t="s">
        <v>183</v>
      </c>
    </row>
    <row r="82" spans="2:7">
      <c r="B82" t="s">
        <v>186</v>
      </c>
      <c r="D82" t="s">
        <v>187</v>
      </c>
      <c r="E82" s="80" t="s">
        <v>176</v>
      </c>
    </row>
    <row r="83" spans="2:7">
      <c r="B83" t="s">
        <v>188</v>
      </c>
      <c r="D83" t="s">
        <v>189</v>
      </c>
      <c r="E83" s="80" t="s">
        <v>176</v>
      </c>
    </row>
    <row r="84" spans="2:7">
      <c r="B84" t="s">
        <v>190</v>
      </c>
      <c r="D84" t="s">
        <v>191</v>
      </c>
      <c r="E84" s="80" t="s">
        <v>176</v>
      </c>
      <c r="F84" t="s">
        <v>192</v>
      </c>
    </row>
    <row r="85" spans="2:7">
      <c r="B85" t="s">
        <v>193</v>
      </c>
      <c r="D85" t="s">
        <v>191</v>
      </c>
      <c r="E85" s="80" t="s">
        <v>176</v>
      </c>
      <c r="F85" t="s">
        <v>192</v>
      </c>
    </row>
    <row r="86" spans="2:7">
      <c r="B86" t="s">
        <v>194</v>
      </c>
      <c r="D86" t="s">
        <v>182</v>
      </c>
      <c r="E86" s="80" t="s">
        <v>176</v>
      </c>
    </row>
    <row r="87" spans="2:7">
      <c r="B87" t="s">
        <v>195</v>
      </c>
      <c r="C87" t="s">
        <v>196</v>
      </c>
      <c r="D87" t="s">
        <v>197</v>
      </c>
      <c r="E87" s="80" t="s">
        <v>176</v>
      </c>
      <c r="F87" t="s">
        <v>198</v>
      </c>
      <c r="G87" t="s">
        <v>199</v>
      </c>
    </row>
    <row r="88" spans="2:7">
      <c r="B88" t="s">
        <v>200</v>
      </c>
      <c r="D88" t="s">
        <v>201</v>
      </c>
      <c r="E88" s="80" t="s">
        <v>176</v>
      </c>
      <c r="F88" t="s">
        <v>202</v>
      </c>
    </row>
    <row r="89" spans="2:7">
      <c r="B89" t="s">
        <v>203</v>
      </c>
      <c r="D89">
        <v>1</v>
      </c>
      <c r="E89" s="80" t="s">
        <v>176</v>
      </c>
      <c r="F89" t="s">
        <v>204</v>
      </c>
    </row>
    <row r="90" spans="2:7">
      <c r="B90" t="s">
        <v>205</v>
      </c>
      <c r="D90" t="s">
        <v>182</v>
      </c>
      <c r="E90" s="80" t="s">
        <v>176</v>
      </c>
    </row>
    <row r="91" spans="2:7">
      <c r="B91" t="s">
        <v>206</v>
      </c>
      <c r="D91">
        <v>1</v>
      </c>
      <c r="E91" s="80" t="s">
        <v>176</v>
      </c>
    </row>
    <row r="92" spans="2:7">
      <c r="B92" t="s">
        <v>207</v>
      </c>
      <c r="D92">
        <v>2</v>
      </c>
      <c r="E92" s="80" t="s">
        <v>176</v>
      </c>
    </row>
  </sheetData>
  <mergeCells count="10">
    <mergeCell ref="A1:M1"/>
    <mergeCell ref="A4:M4"/>
    <mergeCell ref="A8:M8"/>
    <mergeCell ref="A11:M11"/>
    <mergeCell ref="A24:M24"/>
    <mergeCell ref="A32:M32"/>
    <mergeCell ref="A39:M39"/>
    <mergeCell ref="A47:M47"/>
    <mergeCell ref="A54:M54"/>
    <mergeCell ref="A60:M60"/>
  </mergeCells>
  <pageMargins left="0.078740157480315" right="0.078740157480315" top="0.078740157480315" bottom="0.078740157480315" header="0.078740157480315" footer="0.078740157480315"/>
  <pageSetup paperSize="9" scale="5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2"/>
  <sheetViews>
    <sheetView zoomScale="56" zoomScaleNormal="56" workbookViewId="0">
      <pane ySplit="4" topLeftCell="A114" activePane="bottomLeft" state="frozen"/>
      <selection/>
      <selection pane="bottomLeft" activeCell="C142" sqref="C142"/>
    </sheetView>
  </sheetViews>
  <sheetFormatPr defaultColWidth="9" defaultRowHeight="14.5"/>
  <cols>
    <col min="1" max="1" width="12" customWidth="1"/>
    <col min="2" max="2" width="36" customWidth="1"/>
    <col min="3" max="3" width="18" customWidth="1"/>
    <col min="4" max="4" width="10" customWidth="1"/>
    <col min="5" max="5" width="12" customWidth="1"/>
    <col min="6" max="8" width="16" customWidth="1"/>
    <col min="9" max="9" width="18" customWidth="1"/>
  </cols>
  <sheetData>
    <row r="1" ht="36" customHeight="1" spans="1:9">
      <c r="A1" s="1" t="s">
        <v>208</v>
      </c>
    </row>
    <row r="2" ht="22" customHeight="1" spans="1:9">
      <c r="A2" s="2" t="s">
        <v>209</v>
      </c>
    </row>
    <row r="3" ht="15.25"/>
    <row r="4" ht="28" customHeight="1" spans="1:9">
      <c r="A4" s="3" t="s">
        <v>210</v>
      </c>
      <c r="B4" s="3" t="s">
        <v>211</v>
      </c>
      <c r="C4" s="3" t="s">
        <v>212</v>
      </c>
      <c r="D4" s="3" t="s">
        <v>213</v>
      </c>
      <c r="E4" s="3" t="s">
        <v>214</v>
      </c>
      <c r="F4" s="3" t="s">
        <v>215</v>
      </c>
      <c r="G4" s="3" t="s">
        <v>216</v>
      </c>
      <c r="H4" s="3" t="s">
        <v>217</v>
      </c>
      <c r="I4" s="3" t="s">
        <v>218</v>
      </c>
    </row>
    <row r="5" ht="24" customHeight="1" spans="1:9">
      <c r="A5" s="4" t="s">
        <v>219</v>
      </c>
    </row>
    <row r="6" ht="20" customHeight="1" spans="1:9">
      <c r="A6" s="5" t="s">
        <v>220</v>
      </c>
      <c r="B6" s="6" t="s">
        <v>221</v>
      </c>
      <c r="C6" s="7" t="s">
        <v>222</v>
      </c>
      <c r="D6" s="8" t="s">
        <v>223</v>
      </c>
      <c r="E6" s="9">
        <v>99</v>
      </c>
      <c r="F6" s="10">
        <v>9999</v>
      </c>
      <c r="G6" s="11">
        <v>9958</v>
      </c>
      <c r="H6" s="12">
        <f t="shared" ref="H6:H42" si="0">F6-G6</f>
        <v>41</v>
      </c>
      <c r="I6" s="13">
        <f t="shared" ref="I6:I42" si="1">H6*E6</f>
        <v>4059</v>
      </c>
    </row>
    <row r="7" ht="20" customHeight="1" spans="1:9">
      <c r="A7" s="14" t="s">
        <v>224</v>
      </c>
      <c r="B7" s="15" t="s">
        <v>225</v>
      </c>
      <c r="C7" s="16" t="s">
        <v>222</v>
      </c>
      <c r="D7" s="17" t="s">
        <v>223</v>
      </c>
      <c r="E7" s="18">
        <v>105</v>
      </c>
      <c r="F7" s="19">
        <v>9999</v>
      </c>
      <c r="G7" s="20">
        <v>9975</v>
      </c>
      <c r="H7" s="12">
        <f t="shared" si="0"/>
        <v>24</v>
      </c>
      <c r="I7" s="21">
        <f t="shared" si="1"/>
        <v>2520</v>
      </c>
    </row>
    <row r="8" ht="20" customHeight="1" spans="1:9">
      <c r="A8" s="5" t="s">
        <v>226</v>
      </c>
      <c r="B8" s="6" t="s">
        <v>227</v>
      </c>
      <c r="C8" s="7" t="s">
        <v>222</v>
      </c>
      <c r="D8" s="8" t="s">
        <v>223</v>
      </c>
      <c r="E8" s="9">
        <v>105</v>
      </c>
      <c r="F8" s="10">
        <v>9999</v>
      </c>
      <c r="G8" s="11">
        <v>9982</v>
      </c>
      <c r="H8" s="22">
        <f t="shared" si="0"/>
        <v>17</v>
      </c>
      <c r="I8" s="13">
        <f t="shared" si="1"/>
        <v>1785</v>
      </c>
    </row>
    <row r="9" ht="20" customHeight="1" spans="1:9">
      <c r="A9" s="14" t="s">
        <v>228</v>
      </c>
      <c r="B9" s="15" t="s">
        <v>229</v>
      </c>
      <c r="C9" s="16" t="s">
        <v>222</v>
      </c>
      <c r="D9" s="17" t="s">
        <v>223</v>
      </c>
      <c r="E9" s="18">
        <v>105</v>
      </c>
      <c r="F9" s="19">
        <v>9999</v>
      </c>
      <c r="G9" s="20">
        <v>9983</v>
      </c>
      <c r="H9" s="22">
        <f t="shared" si="0"/>
        <v>16</v>
      </c>
      <c r="I9" s="21">
        <f t="shared" si="1"/>
        <v>1680</v>
      </c>
    </row>
    <row r="10" ht="20" customHeight="1" spans="1:9">
      <c r="A10" s="5" t="s">
        <v>230</v>
      </c>
      <c r="B10" s="6" t="s">
        <v>231</v>
      </c>
      <c r="C10" s="7" t="s">
        <v>222</v>
      </c>
      <c r="D10" s="8" t="s">
        <v>223</v>
      </c>
      <c r="E10" s="9">
        <v>149</v>
      </c>
      <c r="F10" s="10">
        <v>9999</v>
      </c>
      <c r="G10" s="11">
        <v>9983</v>
      </c>
      <c r="H10" s="22">
        <f t="shared" si="0"/>
        <v>16</v>
      </c>
      <c r="I10" s="13">
        <f t="shared" si="1"/>
        <v>2384</v>
      </c>
    </row>
    <row r="11" ht="20" customHeight="1" spans="1:9">
      <c r="A11" s="14" t="s">
        <v>232</v>
      </c>
      <c r="B11" s="15" t="s">
        <v>233</v>
      </c>
      <c r="C11" s="16" t="s">
        <v>222</v>
      </c>
      <c r="D11" s="17" t="s">
        <v>223</v>
      </c>
      <c r="E11" s="18">
        <v>149</v>
      </c>
      <c r="F11" s="19">
        <v>9999</v>
      </c>
      <c r="G11" s="20">
        <v>9984</v>
      </c>
      <c r="H11" s="22">
        <f t="shared" si="0"/>
        <v>15</v>
      </c>
      <c r="I11" s="21">
        <f t="shared" si="1"/>
        <v>2235</v>
      </c>
    </row>
    <row r="12" ht="20" customHeight="1" spans="1:9">
      <c r="A12" s="5" t="s">
        <v>234</v>
      </c>
      <c r="B12" s="6" t="s">
        <v>235</v>
      </c>
      <c r="C12" s="7" t="s">
        <v>222</v>
      </c>
      <c r="D12" s="8" t="s">
        <v>223</v>
      </c>
      <c r="E12" s="9">
        <v>149</v>
      </c>
      <c r="F12" s="10">
        <v>9999</v>
      </c>
      <c r="G12" s="11">
        <v>9990</v>
      </c>
      <c r="H12" s="22">
        <f t="shared" si="0"/>
        <v>9</v>
      </c>
      <c r="I12" s="13">
        <f t="shared" si="1"/>
        <v>1341</v>
      </c>
    </row>
    <row r="13" ht="20" customHeight="1" spans="1:9">
      <c r="A13" s="14" t="s">
        <v>236</v>
      </c>
      <c r="B13" s="15" t="s">
        <v>237</v>
      </c>
      <c r="C13" s="16" t="s">
        <v>222</v>
      </c>
      <c r="D13" s="17" t="s">
        <v>223</v>
      </c>
      <c r="E13" s="18">
        <v>105</v>
      </c>
      <c r="F13" s="19">
        <v>9999</v>
      </c>
      <c r="G13" s="20">
        <v>9992</v>
      </c>
      <c r="H13" s="22">
        <f t="shared" si="0"/>
        <v>7</v>
      </c>
      <c r="I13" s="21">
        <f t="shared" si="1"/>
        <v>735</v>
      </c>
    </row>
    <row r="14" ht="20" customHeight="1" spans="1:9">
      <c r="A14" s="5" t="s">
        <v>238</v>
      </c>
      <c r="B14" s="6" t="s">
        <v>239</v>
      </c>
      <c r="C14" s="7" t="s">
        <v>222</v>
      </c>
      <c r="D14" s="8" t="s">
        <v>223</v>
      </c>
      <c r="E14" s="9">
        <v>105</v>
      </c>
      <c r="F14" s="10">
        <v>9999</v>
      </c>
      <c r="G14" s="11">
        <v>9993</v>
      </c>
      <c r="H14" s="22">
        <f t="shared" si="0"/>
        <v>6</v>
      </c>
      <c r="I14" s="13">
        <f t="shared" si="1"/>
        <v>630</v>
      </c>
    </row>
    <row r="15" ht="20" customHeight="1" spans="1:9">
      <c r="A15" s="14" t="s">
        <v>240</v>
      </c>
      <c r="B15" s="15" t="s">
        <v>241</v>
      </c>
      <c r="C15" s="16" t="s">
        <v>222</v>
      </c>
      <c r="D15" s="17" t="s">
        <v>223</v>
      </c>
      <c r="E15" s="18">
        <v>105</v>
      </c>
      <c r="F15" s="19">
        <v>9999</v>
      </c>
      <c r="G15" s="20">
        <v>9993</v>
      </c>
      <c r="H15" s="22">
        <f t="shared" si="0"/>
        <v>6</v>
      </c>
      <c r="I15" s="21">
        <f t="shared" si="1"/>
        <v>630</v>
      </c>
    </row>
    <row r="16" ht="20" customHeight="1" spans="1:9">
      <c r="A16" s="5" t="s">
        <v>242</v>
      </c>
      <c r="B16" s="6" t="s">
        <v>243</v>
      </c>
      <c r="C16" s="7" t="s">
        <v>222</v>
      </c>
      <c r="D16" s="8" t="s">
        <v>223</v>
      </c>
      <c r="E16" s="9">
        <v>149</v>
      </c>
      <c r="F16" s="10">
        <v>9999</v>
      </c>
      <c r="G16" s="11">
        <v>9994</v>
      </c>
      <c r="H16" s="22">
        <f t="shared" si="0"/>
        <v>5</v>
      </c>
      <c r="I16" s="13">
        <f t="shared" si="1"/>
        <v>745</v>
      </c>
    </row>
    <row r="17" ht="20" customHeight="1" spans="1:9">
      <c r="A17" s="14" t="s">
        <v>244</v>
      </c>
      <c r="B17" s="15" t="s">
        <v>245</v>
      </c>
      <c r="C17" s="16" t="s">
        <v>222</v>
      </c>
      <c r="D17" s="17" t="s">
        <v>223</v>
      </c>
      <c r="E17" s="18">
        <v>149</v>
      </c>
      <c r="F17" s="19">
        <v>9999</v>
      </c>
      <c r="G17" s="20">
        <v>9995</v>
      </c>
      <c r="H17" s="22">
        <f t="shared" si="0"/>
        <v>4</v>
      </c>
      <c r="I17" s="21">
        <f t="shared" si="1"/>
        <v>596</v>
      </c>
    </row>
    <row r="18" ht="20" customHeight="1" spans="1:9">
      <c r="A18" s="5" t="s">
        <v>246</v>
      </c>
      <c r="B18" s="6" t="s">
        <v>247</v>
      </c>
      <c r="C18" s="7" t="s">
        <v>222</v>
      </c>
      <c r="D18" s="8" t="s">
        <v>223</v>
      </c>
      <c r="E18" s="9">
        <v>105</v>
      </c>
      <c r="F18" s="10">
        <v>9999</v>
      </c>
      <c r="G18" s="11">
        <v>9995</v>
      </c>
      <c r="H18" s="22">
        <f t="shared" si="0"/>
        <v>4</v>
      </c>
      <c r="I18" s="13">
        <f t="shared" si="1"/>
        <v>420</v>
      </c>
    </row>
    <row r="19" ht="20" customHeight="1" spans="1:9">
      <c r="A19" s="14" t="s">
        <v>248</v>
      </c>
      <c r="B19" s="15" t="s">
        <v>249</v>
      </c>
      <c r="C19" s="16" t="s">
        <v>222</v>
      </c>
      <c r="D19" s="17" t="s">
        <v>223</v>
      </c>
      <c r="E19" s="18">
        <v>105</v>
      </c>
      <c r="F19" s="19">
        <v>9999</v>
      </c>
      <c r="G19" s="20">
        <v>9995</v>
      </c>
      <c r="H19" s="22">
        <f t="shared" si="0"/>
        <v>4</v>
      </c>
      <c r="I19" s="21">
        <f t="shared" si="1"/>
        <v>420</v>
      </c>
    </row>
    <row r="20" ht="20" customHeight="1" spans="1:9">
      <c r="A20" s="5" t="s">
        <v>250</v>
      </c>
      <c r="B20" s="6" t="s">
        <v>251</v>
      </c>
      <c r="C20" s="7" t="s">
        <v>222</v>
      </c>
      <c r="D20" s="8" t="s">
        <v>223</v>
      </c>
      <c r="E20" s="9">
        <v>105</v>
      </c>
      <c r="F20" s="10">
        <v>9999</v>
      </c>
      <c r="G20" s="11">
        <v>9997</v>
      </c>
      <c r="H20" s="22">
        <f t="shared" si="0"/>
        <v>2</v>
      </c>
      <c r="I20" s="13">
        <f t="shared" si="1"/>
        <v>210</v>
      </c>
    </row>
    <row r="21" ht="20" customHeight="1" spans="1:9">
      <c r="A21" s="14" t="s">
        <v>252</v>
      </c>
      <c r="B21" s="15" t="s">
        <v>253</v>
      </c>
      <c r="C21" s="16" t="s">
        <v>222</v>
      </c>
      <c r="D21" s="17" t="s">
        <v>223</v>
      </c>
      <c r="E21" s="18">
        <v>149</v>
      </c>
      <c r="F21" s="19">
        <v>9999</v>
      </c>
      <c r="G21" s="20">
        <v>9998</v>
      </c>
      <c r="H21" s="22">
        <f t="shared" si="0"/>
        <v>1</v>
      </c>
      <c r="I21" s="21">
        <f t="shared" si="1"/>
        <v>149</v>
      </c>
    </row>
    <row r="22" ht="20" customHeight="1" spans="1:9">
      <c r="A22" s="5" t="s">
        <v>254</v>
      </c>
      <c r="B22" s="6" t="s">
        <v>255</v>
      </c>
      <c r="C22" s="7" t="s">
        <v>222</v>
      </c>
      <c r="D22" s="8" t="s">
        <v>223</v>
      </c>
      <c r="E22" s="9">
        <v>105</v>
      </c>
      <c r="F22" s="10">
        <v>9999</v>
      </c>
      <c r="G22" s="11">
        <v>9998</v>
      </c>
      <c r="H22" s="22">
        <f t="shared" si="0"/>
        <v>1</v>
      </c>
      <c r="I22" s="13">
        <f t="shared" si="1"/>
        <v>105</v>
      </c>
    </row>
    <row r="23" ht="20" customHeight="1" spans="1:9">
      <c r="A23" s="14" t="s">
        <v>256</v>
      </c>
      <c r="B23" s="15" t="s">
        <v>257</v>
      </c>
      <c r="C23" s="16" t="s">
        <v>222</v>
      </c>
      <c r="D23" s="17" t="s">
        <v>223</v>
      </c>
      <c r="E23" s="18">
        <v>105</v>
      </c>
      <c r="F23" s="19">
        <v>9999</v>
      </c>
      <c r="G23" s="20">
        <v>9998</v>
      </c>
      <c r="H23" s="22">
        <f t="shared" si="0"/>
        <v>1</v>
      </c>
      <c r="I23" s="21">
        <f t="shared" si="1"/>
        <v>105</v>
      </c>
    </row>
    <row r="24" ht="20" customHeight="1" spans="1:9">
      <c r="A24" s="5" t="s">
        <v>258</v>
      </c>
      <c r="B24" s="6" t="s">
        <v>259</v>
      </c>
      <c r="C24" s="7" t="s">
        <v>222</v>
      </c>
      <c r="D24" s="8" t="s">
        <v>223</v>
      </c>
      <c r="E24" s="9">
        <v>149</v>
      </c>
      <c r="F24" s="10">
        <v>9999</v>
      </c>
      <c r="G24" s="11">
        <v>9998</v>
      </c>
      <c r="H24" s="22">
        <f t="shared" si="0"/>
        <v>1</v>
      </c>
      <c r="I24" s="13">
        <f t="shared" si="1"/>
        <v>149</v>
      </c>
    </row>
    <row r="25" ht="20" customHeight="1" spans="1:9">
      <c r="A25" s="14" t="s">
        <v>260</v>
      </c>
      <c r="B25" s="15" t="s">
        <v>261</v>
      </c>
      <c r="C25" s="16" t="s">
        <v>222</v>
      </c>
      <c r="D25" s="17" t="s">
        <v>223</v>
      </c>
      <c r="E25" s="18">
        <v>105</v>
      </c>
      <c r="F25" s="19">
        <v>9999</v>
      </c>
      <c r="G25" s="20">
        <v>9999</v>
      </c>
      <c r="H25" s="23">
        <f t="shared" si="0"/>
        <v>0</v>
      </c>
      <c r="I25" s="21">
        <f t="shared" si="1"/>
        <v>0</v>
      </c>
    </row>
    <row r="26" ht="20" customHeight="1" spans="1:9">
      <c r="A26" s="5" t="s">
        <v>262</v>
      </c>
      <c r="B26" s="6" t="s">
        <v>263</v>
      </c>
      <c r="C26" s="7" t="s">
        <v>222</v>
      </c>
      <c r="D26" s="8" t="s">
        <v>223</v>
      </c>
      <c r="E26" s="9">
        <v>149</v>
      </c>
      <c r="F26" s="10">
        <v>9999</v>
      </c>
      <c r="G26" s="11">
        <v>9999</v>
      </c>
      <c r="H26" s="23">
        <f t="shared" si="0"/>
        <v>0</v>
      </c>
      <c r="I26" s="13">
        <f t="shared" si="1"/>
        <v>0</v>
      </c>
    </row>
    <row r="27" ht="20" customHeight="1" spans="1:9">
      <c r="A27" s="14" t="s">
        <v>264</v>
      </c>
      <c r="B27" s="15" t="s">
        <v>265</v>
      </c>
      <c r="C27" s="16" t="s">
        <v>222</v>
      </c>
      <c r="D27" s="17" t="s">
        <v>223</v>
      </c>
      <c r="E27" s="18">
        <v>105</v>
      </c>
      <c r="F27" s="19">
        <v>9999</v>
      </c>
      <c r="G27" s="20">
        <v>9999</v>
      </c>
      <c r="H27" s="23">
        <f t="shared" si="0"/>
        <v>0</v>
      </c>
      <c r="I27" s="21">
        <f t="shared" si="1"/>
        <v>0</v>
      </c>
    </row>
    <row r="28" ht="20" customHeight="1" spans="1:9">
      <c r="A28" s="5" t="s">
        <v>266</v>
      </c>
      <c r="B28" s="6" t="s">
        <v>267</v>
      </c>
      <c r="C28" s="7" t="s">
        <v>222</v>
      </c>
      <c r="D28" s="8" t="s">
        <v>223</v>
      </c>
      <c r="E28" s="9">
        <v>149</v>
      </c>
      <c r="F28" s="10">
        <v>9999</v>
      </c>
      <c r="G28" s="11">
        <v>9999</v>
      </c>
      <c r="H28" s="23">
        <f t="shared" si="0"/>
        <v>0</v>
      </c>
      <c r="I28" s="13">
        <f t="shared" si="1"/>
        <v>0</v>
      </c>
    </row>
    <row r="29" ht="20" customHeight="1" spans="1:9">
      <c r="A29" s="14" t="s">
        <v>268</v>
      </c>
      <c r="B29" s="15" t="s">
        <v>269</v>
      </c>
      <c r="C29" s="16" t="s">
        <v>222</v>
      </c>
      <c r="D29" s="17" t="s">
        <v>223</v>
      </c>
      <c r="E29" s="18">
        <v>105</v>
      </c>
      <c r="F29" s="19">
        <v>9999</v>
      </c>
      <c r="G29" s="20">
        <v>9999</v>
      </c>
      <c r="H29" s="23">
        <f t="shared" si="0"/>
        <v>0</v>
      </c>
      <c r="I29" s="21">
        <f t="shared" si="1"/>
        <v>0</v>
      </c>
    </row>
    <row r="30" ht="20" customHeight="1" spans="1:9">
      <c r="A30" s="5" t="s">
        <v>270</v>
      </c>
      <c r="B30" s="6" t="s">
        <v>271</v>
      </c>
      <c r="C30" s="7" t="s">
        <v>222</v>
      </c>
      <c r="D30" s="8" t="s">
        <v>223</v>
      </c>
      <c r="E30" s="9">
        <v>149</v>
      </c>
      <c r="F30" s="10">
        <v>9999</v>
      </c>
      <c r="G30" s="11">
        <v>9999</v>
      </c>
      <c r="H30" s="23">
        <f t="shared" si="0"/>
        <v>0</v>
      </c>
      <c r="I30" s="13">
        <f t="shared" si="1"/>
        <v>0</v>
      </c>
    </row>
    <row r="31" ht="20" customHeight="1" spans="1:9">
      <c r="A31" s="14" t="s">
        <v>272</v>
      </c>
      <c r="B31" s="15" t="s">
        <v>273</v>
      </c>
      <c r="C31" s="16" t="s">
        <v>222</v>
      </c>
      <c r="D31" s="17" t="s">
        <v>17</v>
      </c>
      <c r="E31" s="18">
        <v>149</v>
      </c>
      <c r="F31" s="19">
        <v>9999</v>
      </c>
      <c r="G31" s="20">
        <v>9999</v>
      </c>
      <c r="H31" s="23">
        <f t="shared" si="0"/>
        <v>0</v>
      </c>
      <c r="I31" s="21">
        <f t="shared" si="1"/>
        <v>0</v>
      </c>
    </row>
    <row r="32" ht="20" customHeight="1" spans="1:9">
      <c r="A32" s="5" t="s">
        <v>274</v>
      </c>
      <c r="B32" s="6" t="s">
        <v>275</v>
      </c>
      <c r="C32" s="7" t="s">
        <v>222</v>
      </c>
      <c r="D32" s="8" t="s">
        <v>223</v>
      </c>
      <c r="E32" s="9">
        <v>149</v>
      </c>
      <c r="F32" s="10">
        <v>9999</v>
      </c>
      <c r="G32" s="11">
        <v>9999</v>
      </c>
      <c r="H32" s="23">
        <f t="shared" si="0"/>
        <v>0</v>
      </c>
      <c r="I32" s="13">
        <f t="shared" si="1"/>
        <v>0</v>
      </c>
    </row>
    <row r="33" ht="20" customHeight="1" spans="1:9">
      <c r="A33" s="14" t="s">
        <v>276</v>
      </c>
      <c r="B33" s="15" t="s">
        <v>277</v>
      </c>
      <c r="C33" s="16" t="s">
        <v>222</v>
      </c>
      <c r="D33" s="17" t="s">
        <v>223</v>
      </c>
      <c r="E33" s="18">
        <v>105</v>
      </c>
      <c r="F33" s="19">
        <v>9999</v>
      </c>
      <c r="G33" s="20">
        <v>9999</v>
      </c>
      <c r="H33" s="23">
        <f t="shared" si="0"/>
        <v>0</v>
      </c>
      <c r="I33" s="21">
        <f t="shared" si="1"/>
        <v>0</v>
      </c>
    </row>
    <row r="34" ht="20" customHeight="1" spans="1:9">
      <c r="A34" s="5" t="s">
        <v>278</v>
      </c>
      <c r="B34" s="6" t="s">
        <v>277</v>
      </c>
      <c r="C34" s="7" t="s">
        <v>222</v>
      </c>
      <c r="D34" s="8" t="s">
        <v>223</v>
      </c>
      <c r="E34" s="9">
        <v>149</v>
      </c>
      <c r="F34" s="10">
        <v>9999</v>
      </c>
      <c r="G34" s="11">
        <v>9999</v>
      </c>
      <c r="H34" s="23">
        <f t="shared" si="0"/>
        <v>0</v>
      </c>
      <c r="I34" s="13">
        <f t="shared" si="1"/>
        <v>0</v>
      </c>
    </row>
    <row r="35" ht="20" customHeight="1" spans="1:9">
      <c r="A35" s="14" t="s">
        <v>279</v>
      </c>
      <c r="B35" s="15" t="s">
        <v>277</v>
      </c>
      <c r="C35" s="16" t="s">
        <v>222</v>
      </c>
      <c r="D35" s="17" t="s">
        <v>223</v>
      </c>
      <c r="E35" s="18">
        <v>149</v>
      </c>
      <c r="F35" s="19">
        <v>9999</v>
      </c>
      <c r="G35" s="20">
        <v>9999</v>
      </c>
      <c r="H35" s="23">
        <f t="shared" si="0"/>
        <v>0</v>
      </c>
      <c r="I35" s="21">
        <f t="shared" si="1"/>
        <v>0</v>
      </c>
    </row>
    <row r="36" ht="20" customHeight="1" spans="1:9">
      <c r="A36" s="5" t="s">
        <v>280</v>
      </c>
      <c r="B36" s="6" t="s">
        <v>281</v>
      </c>
      <c r="C36" s="7" t="s">
        <v>222</v>
      </c>
      <c r="D36" s="8" t="s">
        <v>223</v>
      </c>
      <c r="E36" s="9">
        <v>105</v>
      </c>
      <c r="F36" s="10">
        <v>9999</v>
      </c>
      <c r="G36" s="11">
        <v>9999</v>
      </c>
      <c r="H36" s="23">
        <f t="shared" si="0"/>
        <v>0</v>
      </c>
      <c r="I36" s="13">
        <f t="shared" si="1"/>
        <v>0</v>
      </c>
    </row>
    <row r="37" ht="20" customHeight="1" spans="1:9">
      <c r="A37" s="14" t="s">
        <v>282</v>
      </c>
      <c r="B37" s="15" t="s">
        <v>283</v>
      </c>
      <c r="C37" s="16" t="s">
        <v>222</v>
      </c>
      <c r="D37" s="17" t="s">
        <v>223</v>
      </c>
      <c r="E37" s="18">
        <v>149</v>
      </c>
      <c r="F37" s="19">
        <v>9999</v>
      </c>
      <c r="G37" s="20">
        <v>9999</v>
      </c>
      <c r="H37" s="23">
        <f t="shared" si="0"/>
        <v>0</v>
      </c>
      <c r="I37" s="21">
        <f t="shared" si="1"/>
        <v>0</v>
      </c>
    </row>
    <row r="38" ht="20" customHeight="1" spans="1:9">
      <c r="A38" s="5" t="s">
        <v>284</v>
      </c>
      <c r="B38" s="6" t="s">
        <v>285</v>
      </c>
      <c r="C38" s="7" t="s">
        <v>222</v>
      </c>
      <c r="D38" s="8" t="s">
        <v>223</v>
      </c>
      <c r="E38" s="9">
        <v>105</v>
      </c>
      <c r="F38" s="10">
        <v>9999</v>
      </c>
      <c r="G38" s="11">
        <v>9999</v>
      </c>
      <c r="H38" s="23">
        <f t="shared" si="0"/>
        <v>0</v>
      </c>
      <c r="I38" s="13">
        <f t="shared" si="1"/>
        <v>0</v>
      </c>
    </row>
    <row r="39" ht="20" customHeight="1" spans="1:9">
      <c r="A39" s="14" t="s">
        <v>286</v>
      </c>
      <c r="B39" s="15" t="s">
        <v>287</v>
      </c>
      <c r="C39" s="16" t="s">
        <v>222</v>
      </c>
      <c r="D39" s="17" t="s">
        <v>223</v>
      </c>
      <c r="E39" s="18">
        <v>149</v>
      </c>
      <c r="F39" s="19">
        <v>9999</v>
      </c>
      <c r="G39" s="20">
        <v>9999</v>
      </c>
      <c r="H39" s="23">
        <f t="shared" si="0"/>
        <v>0</v>
      </c>
      <c r="I39" s="21">
        <f t="shared" si="1"/>
        <v>0</v>
      </c>
    </row>
    <row r="40" ht="20" customHeight="1" spans="1:9">
      <c r="A40" s="5" t="s">
        <v>288</v>
      </c>
      <c r="B40" s="6" t="s">
        <v>289</v>
      </c>
      <c r="C40" s="7" t="s">
        <v>222</v>
      </c>
      <c r="D40" s="8" t="s">
        <v>223</v>
      </c>
      <c r="E40" s="9">
        <v>120</v>
      </c>
      <c r="F40" s="10">
        <v>9999</v>
      </c>
      <c r="G40" s="11">
        <v>9999</v>
      </c>
      <c r="H40" s="23">
        <f t="shared" si="0"/>
        <v>0</v>
      </c>
      <c r="I40" s="13">
        <f t="shared" si="1"/>
        <v>0</v>
      </c>
    </row>
    <row r="41" ht="20" customHeight="1" spans="1:9">
      <c r="A41" s="14" t="s">
        <v>290</v>
      </c>
      <c r="B41" s="15" t="s">
        <v>291</v>
      </c>
      <c r="C41" s="16" t="s">
        <v>222</v>
      </c>
      <c r="D41" s="17" t="s">
        <v>223</v>
      </c>
      <c r="E41" s="18">
        <v>149</v>
      </c>
      <c r="F41" s="19">
        <v>9999</v>
      </c>
      <c r="G41" s="20">
        <v>9999</v>
      </c>
      <c r="H41" s="23">
        <f t="shared" si="0"/>
        <v>0</v>
      </c>
      <c r="I41" s="21">
        <f t="shared" si="1"/>
        <v>0</v>
      </c>
    </row>
    <row r="42" ht="20" customHeight="1" spans="1:9">
      <c r="A42" s="5" t="s">
        <v>292</v>
      </c>
      <c r="B42" s="6" t="s">
        <v>293</v>
      </c>
      <c r="C42" s="7" t="s">
        <v>222</v>
      </c>
      <c r="D42" s="8" t="s">
        <v>223</v>
      </c>
      <c r="E42" s="9">
        <v>149</v>
      </c>
      <c r="F42" s="10">
        <v>9999</v>
      </c>
      <c r="G42" s="11">
        <v>9999</v>
      </c>
      <c r="H42" s="23">
        <f t="shared" si="0"/>
        <v>0</v>
      </c>
      <c r="I42" s="13">
        <f t="shared" si="1"/>
        <v>0</v>
      </c>
    </row>
    <row r="43" ht="22" customHeight="1" spans="1:9">
      <c r="A43" s="24" t="s">
        <v>294</v>
      </c>
      <c r="B43" s="25"/>
      <c r="C43" s="25"/>
      <c r="D43" s="25"/>
      <c r="E43" s="25"/>
      <c r="F43" s="25"/>
      <c r="G43" s="25"/>
      <c r="H43" s="26">
        <f>SUM(H6:H42)</f>
        <v>180</v>
      </c>
      <c r="I43" s="27">
        <f>SUM(I6:I42)</f>
        <v>20898</v>
      </c>
    </row>
    <row r="44" ht="24" customHeight="1" spans="1:9">
      <c r="A44" s="28" t="s">
        <v>295</v>
      </c>
    </row>
    <row r="45" ht="20" customHeight="1" spans="1:9">
      <c r="A45" s="14" t="s">
        <v>296</v>
      </c>
      <c r="B45" s="15" t="s">
        <v>297</v>
      </c>
      <c r="C45" s="16" t="s">
        <v>298</v>
      </c>
      <c r="D45" s="17" t="s">
        <v>223</v>
      </c>
      <c r="E45" s="18">
        <v>149</v>
      </c>
      <c r="F45" s="19">
        <v>9999</v>
      </c>
      <c r="G45" s="20">
        <v>9890</v>
      </c>
      <c r="H45" s="12">
        <f t="shared" ref="H45:H69" si="2">F45-G45</f>
        <v>109</v>
      </c>
      <c r="I45" s="21">
        <f t="shared" ref="I45:I69" si="3">H45*E45</f>
        <v>16241</v>
      </c>
    </row>
    <row r="46" ht="20" customHeight="1" spans="1:9">
      <c r="A46" s="5" t="s">
        <v>299</v>
      </c>
      <c r="B46" s="6" t="s">
        <v>300</v>
      </c>
      <c r="C46" s="7" t="s">
        <v>298</v>
      </c>
      <c r="D46" s="8" t="s">
        <v>223</v>
      </c>
      <c r="E46" s="9">
        <v>120</v>
      </c>
      <c r="F46" s="10">
        <v>9999</v>
      </c>
      <c r="G46" s="11">
        <v>9963</v>
      </c>
      <c r="H46" s="12">
        <f t="shared" si="2"/>
        <v>36</v>
      </c>
      <c r="I46" s="13">
        <f t="shared" si="3"/>
        <v>4320</v>
      </c>
    </row>
    <row r="47" ht="20" customHeight="1" spans="1:9">
      <c r="A47" s="14" t="s">
        <v>301</v>
      </c>
      <c r="B47" s="15" t="s">
        <v>302</v>
      </c>
      <c r="C47" s="16" t="s">
        <v>298</v>
      </c>
      <c r="D47" s="17" t="s">
        <v>223</v>
      </c>
      <c r="E47" s="18">
        <v>149</v>
      </c>
      <c r="F47" s="19">
        <v>9999</v>
      </c>
      <c r="G47" s="20">
        <v>9973</v>
      </c>
      <c r="H47" s="12">
        <f t="shared" si="2"/>
        <v>26</v>
      </c>
      <c r="I47" s="21">
        <f t="shared" si="3"/>
        <v>3874</v>
      </c>
    </row>
    <row r="48" ht="20" customHeight="1" spans="1:9">
      <c r="A48" s="5" t="s">
        <v>303</v>
      </c>
      <c r="B48" s="6" t="s">
        <v>304</v>
      </c>
      <c r="C48" s="7" t="s">
        <v>298</v>
      </c>
      <c r="D48" s="8" t="s">
        <v>223</v>
      </c>
      <c r="E48" s="9">
        <v>149</v>
      </c>
      <c r="F48" s="10">
        <v>9999</v>
      </c>
      <c r="G48" s="11">
        <v>9975</v>
      </c>
      <c r="H48" s="12">
        <f t="shared" si="2"/>
        <v>24</v>
      </c>
      <c r="I48" s="13">
        <f t="shared" si="3"/>
        <v>3576</v>
      </c>
    </row>
    <row r="49" ht="20" customHeight="1" spans="1:9">
      <c r="A49" s="14" t="s">
        <v>305</v>
      </c>
      <c r="B49" s="15" t="s">
        <v>306</v>
      </c>
      <c r="C49" s="16" t="s">
        <v>298</v>
      </c>
      <c r="D49" s="17" t="s">
        <v>223</v>
      </c>
      <c r="E49" s="18">
        <v>149</v>
      </c>
      <c r="F49" s="19">
        <v>9999</v>
      </c>
      <c r="G49" s="20">
        <v>9986</v>
      </c>
      <c r="H49" s="22">
        <f t="shared" si="2"/>
        <v>13</v>
      </c>
      <c r="I49" s="21">
        <f t="shared" si="3"/>
        <v>1937</v>
      </c>
    </row>
    <row r="50" ht="20" customHeight="1" spans="1:9">
      <c r="A50" s="5" t="s">
        <v>307</v>
      </c>
      <c r="B50" s="6" t="s">
        <v>308</v>
      </c>
      <c r="C50" s="7" t="s">
        <v>298</v>
      </c>
      <c r="D50" s="8" t="s">
        <v>223</v>
      </c>
      <c r="E50" s="9">
        <v>149</v>
      </c>
      <c r="F50" s="10">
        <v>9999</v>
      </c>
      <c r="G50" s="11">
        <v>9988</v>
      </c>
      <c r="H50" s="22">
        <f t="shared" si="2"/>
        <v>11</v>
      </c>
      <c r="I50" s="13">
        <f t="shared" si="3"/>
        <v>1639</v>
      </c>
    </row>
    <row r="51" ht="20" customHeight="1" spans="1:9">
      <c r="A51" s="14" t="s">
        <v>309</v>
      </c>
      <c r="B51" s="15" t="s">
        <v>310</v>
      </c>
      <c r="C51" s="16" t="s">
        <v>298</v>
      </c>
      <c r="D51" s="17" t="s">
        <v>223</v>
      </c>
      <c r="E51" s="18">
        <v>149</v>
      </c>
      <c r="F51" s="19">
        <v>9999</v>
      </c>
      <c r="G51" s="20">
        <v>9989</v>
      </c>
      <c r="H51" s="22">
        <f t="shared" si="2"/>
        <v>10</v>
      </c>
      <c r="I51" s="21">
        <f t="shared" si="3"/>
        <v>1490</v>
      </c>
    </row>
    <row r="52" ht="20" customHeight="1" spans="1:9">
      <c r="A52" s="5" t="s">
        <v>311</v>
      </c>
      <c r="B52" s="6" t="s">
        <v>312</v>
      </c>
      <c r="C52" s="7" t="s">
        <v>298</v>
      </c>
      <c r="D52" s="8" t="s">
        <v>223</v>
      </c>
      <c r="E52" s="9">
        <v>149</v>
      </c>
      <c r="F52" s="10">
        <v>9999</v>
      </c>
      <c r="G52" s="11">
        <v>9992</v>
      </c>
      <c r="H52" s="22">
        <f t="shared" si="2"/>
        <v>7</v>
      </c>
      <c r="I52" s="13">
        <f t="shared" si="3"/>
        <v>1043</v>
      </c>
    </row>
    <row r="53" ht="20" customHeight="1" spans="1:9">
      <c r="A53" s="14" t="s">
        <v>313</v>
      </c>
      <c r="B53" s="15" t="s">
        <v>314</v>
      </c>
      <c r="C53" s="16" t="s">
        <v>298</v>
      </c>
      <c r="D53" s="17" t="s">
        <v>223</v>
      </c>
      <c r="E53" s="18">
        <v>149</v>
      </c>
      <c r="F53" s="19">
        <v>9999</v>
      </c>
      <c r="G53" s="20">
        <v>9994</v>
      </c>
      <c r="H53" s="22">
        <f t="shared" si="2"/>
        <v>5</v>
      </c>
      <c r="I53" s="21">
        <f t="shared" si="3"/>
        <v>745</v>
      </c>
    </row>
    <row r="54" ht="20" customHeight="1" spans="1:9">
      <c r="A54" s="5" t="s">
        <v>315</v>
      </c>
      <c r="B54" s="6" t="s">
        <v>316</v>
      </c>
      <c r="C54" s="7" t="s">
        <v>298</v>
      </c>
      <c r="D54" s="8" t="s">
        <v>223</v>
      </c>
      <c r="E54" s="9">
        <v>149</v>
      </c>
      <c r="F54" s="10">
        <v>9999</v>
      </c>
      <c r="G54" s="11">
        <v>9996</v>
      </c>
      <c r="H54" s="22">
        <f t="shared" si="2"/>
        <v>3</v>
      </c>
      <c r="I54" s="13">
        <f t="shared" si="3"/>
        <v>447</v>
      </c>
    </row>
    <row r="55" ht="20" customHeight="1" spans="1:9">
      <c r="A55" s="14" t="s">
        <v>317</v>
      </c>
      <c r="B55" s="15" t="s">
        <v>318</v>
      </c>
      <c r="C55" s="16" t="s">
        <v>298</v>
      </c>
      <c r="D55" s="17" t="s">
        <v>223</v>
      </c>
      <c r="E55" s="18">
        <v>149</v>
      </c>
      <c r="F55" s="19">
        <v>9999</v>
      </c>
      <c r="G55" s="20">
        <v>9997</v>
      </c>
      <c r="H55" s="22">
        <f t="shared" si="2"/>
        <v>2</v>
      </c>
      <c r="I55" s="21">
        <f t="shared" si="3"/>
        <v>298</v>
      </c>
    </row>
    <row r="56" ht="20" customHeight="1" spans="1:9">
      <c r="A56" s="5" t="s">
        <v>319</v>
      </c>
      <c r="B56" s="6" t="s">
        <v>320</v>
      </c>
      <c r="C56" s="7" t="s">
        <v>298</v>
      </c>
      <c r="D56" s="8" t="s">
        <v>223</v>
      </c>
      <c r="E56" s="9">
        <v>149</v>
      </c>
      <c r="F56" s="10">
        <v>9999</v>
      </c>
      <c r="G56" s="11">
        <v>9998</v>
      </c>
      <c r="H56" s="22">
        <f t="shared" si="2"/>
        <v>1</v>
      </c>
      <c r="I56" s="13">
        <f t="shared" si="3"/>
        <v>149</v>
      </c>
    </row>
    <row r="57" ht="20" customHeight="1" spans="1:9">
      <c r="A57" s="14" t="s">
        <v>321</v>
      </c>
      <c r="B57" s="15" t="s">
        <v>322</v>
      </c>
      <c r="C57" s="16" t="s">
        <v>298</v>
      </c>
      <c r="D57" s="17" t="s">
        <v>223</v>
      </c>
      <c r="E57" s="18">
        <v>105</v>
      </c>
      <c r="F57" s="19">
        <v>9999</v>
      </c>
      <c r="G57" s="20">
        <v>9999</v>
      </c>
      <c r="H57" s="23">
        <f t="shared" si="2"/>
        <v>0</v>
      </c>
      <c r="I57" s="21">
        <f t="shared" si="3"/>
        <v>0</v>
      </c>
    </row>
    <row r="58" ht="20" customHeight="1" spans="1:9">
      <c r="A58" s="5" t="s">
        <v>323</v>
      </c>
      <c r="B58" s="6" t="s">
        <v>324</v>
      </c>
      <c r="C58" s="7" t="s">
        <v>298</v>
      </c>
      <c r="D58" s="8" t="s">
        <v>223</v>
      </c>
      <c r="E58" s="9">
        <v>105</v>
      </c>
      <c r="F58" s="10">
        <v>9999</v>
      </c>
      <c r="G58" s="11">
        <v>9999</v>
      </c>
      <c r="H58" s="23">
        <f t="shared" si="2"/>
        <v>0</v>
      </c>
      <c r="I58" s="13">
        <f t="shared" si="3"/>
        <v>0</v>
      </c>
    </row>
    <row r="59" ht="20" customHeight="1" spans="1:9">
      <c r="A59" s="14" t="s">
        <v>325</v>
      </c>
      <c r="B59" s="15" t="s">
        <v>326</v>
      </c>
      <c r="C59" s="16" t="s">
        <v>298</v>
      </c>
      <c r="D59" s="17" t="s">
        <v>223</v>
      </c>
      <c r="E59" s="18">
        <v>105</v>
      </c>
      <c r="F59" s="19">
        <v>9999</v>
      </c>
      <c r="G59" s="20">
        <v>9999</v>
      </c>
      <c r="H59" s="23">
        <f t="shared" si="2"/>
        <v>0</v>
      </c>
      <c r="I59" s="21">
        <f t="shared" si="3"/>
        <v>0</v>
      </c>
    </row>
    <row r="60" ht="20" customHeight="1" spans="1:9">
      <c r="A60" s="5" t="s">
        <v>327</v>
      </c>
      <c r="B60" s="6" t="s">
        <v>328</v>
      </c>
      <c r="C60" s="7" t="s">
        <v>298</v>
      </c>
      <c r="D60" s="8" t="s">
        <v>223</v>
      </c>
      <c r="E60" s="9">
        <v>105</v>
      </c>
      <c r="F60" s="10">
        <v>9999</v>
      </c>
      <c r="G60" s="11">
        <v>9999</v>
      </c>
      <c r="H60" s="23">
        <f t="shared" si="2"/>
        <v>0</v>
      </c>
      <c r="I60" s="13">
        <f t="shared" si="3"/>
        <v>0</v>
      </c>
    </row>
    <row r="61" ht="20" customHeight="1" spans="1:9">
      <c r="A61" s="14" t="s">
        <v>329</v>
      </c>
      <c r="B61" s="15" t="s">
        <v>330</v>
      </c>
      <c r="C61" s="16" t="s">
        <v>298</v>
      </c>
      <c r="D61" s="17" t="s">
        <v>223</v>
      </c>
      <c r="E61" s="18">
        <v>105</v>
      </c>
      <c r="F61" s="19">
        <v>9999</v>
      </c>
      <c r="G61" s="20">
        <v>9999</v>
      </c>
      <c r="H61" s="23">
        <f t="shared" si="2"/>
        <v>0</v>
      </c>
      <c r="I61" s="21">
        <f t="shared" si="3"/>
        <v>0</v>
      </c>
    </row>
    <row r="62" ht="20" customHeight="1" spans="1:9">
      <c r="A62" s="5" t="s">
        <v>331</v>
      </c>
      <c r="B62" s="6" t="s">
        <v>332</v>
      </c>
      <c r="C62" s="7" t="s">
        <v>298</v>
      </c>
      <c r="D62" s="8" t="s">
        <v>223</v>
      </c>
      <c r="E62" s="9">
        <v>105</v>
      </c>
      <c r="F62" s="10">
        <v>9999</v>
      </c>
      <c r="G62" s="11">
        <v>9999</v>
      </c>
      <c r="H62" s="23">
        <f t="shared" si="2"/>
        <v>0</v>
      </c>
      <c r="I62" s="13">
        <f t="shared" si="3"/>
        <v>0</v>
      </c>
    </row>
    <row r="63" ht="20" customHeight="1" spans="1:9">
      <c r="A63" s="14" t="s">
        <v>333</v>
      </c>
      <c r="B63" s="15" t="s">
        <v>334</v>
      </c>
      <c r="C63" s="16" t="s">
        <v>298</v>
      </c>
      <c r="D63" s="17" t="s">
        <v>223</v>
      </c>
      <c r="E63" s="18">
        <v>105</v>
      </c>
      <c r="F63" s="19">
        <v>9999</v>
      </c>
      <c r="G63" s="20">
        <v>9999</v>
      </c>
      <c r="H63" s="23">
        <f t="shared" si="2"/>
        <v>0</v>
      </c>
      <c r="I63" s="21">
        <f t="shared" si="3"/>
        <v>0</v>
      </c>
    </row>
    <row r="64" ht="20" customHeight="1" spans="1:9">
      <c r="A64" s="5" t="s">
        <v>335</v>
      </c>
      <c r="B64" s="6" t="s">
        <v>336</v>
      </c>
      <c r="C64" s="7" t="s">
        <v>298</v>
      </c>
      <c r="D64" s="8" t="s">
        <v>223</v>
      </c>
      <c r="E64" s="9">
        <v>149</v>
      </c>
      <c r="F64" s="10">
        <v>9999</v>
      </c>
      <c r="G64" s="11">
        <v>9999</v>
      </c>
      <c r="H64" s="23">
        <f t="shared" si="2"/>
        <v>0</v>
      </c>
      <c r="I64" s="13">
        <f t="shared" si="3"/>
        <v>0</v>
      </c>
    </row>
    <row r="65" ht="20" customHeight="1" spans="1:9">
      <c r="A65" s="14" t="s">
        <v>337</v>
      </c>
      <c r="B65" s="15" t="s">
        <v>338</v>
      </c>
      <c r="C65" s="16" t="s">
        <v>298</v>
      </c>
      <c r="D65" s="17" t="s">
        <v>223</v>
      </c>
      <c r="E65" s="18">
        <v>105</v>
      </c>
      <c r="F65" s="19">
        <v>9999</v>
      </c>
      <c r="G65" s="20">
        <v>9999</v>
      </c>
      <c r="H65" s="23">
        <f t="shared" si="2"/>
        <v>0</v>
      </c>
      <c r="I65" s="21">
        <f t="shared" si="3"/>
        <v>0</v>
      </c>
    </row>
    <row r="66" ht="20" customHeight="1" spans="1:9">
      <c r="A66" s="5" t="s">
        <v>339</v>
      </c>
      <c r="B66" s="6" t="s">
        <v>340</v>
      </c>
      <c r="C66" s="7" t="s">
        <v>298</v>
      </c>
      <c r="D66" s="8" t="s">
        <v>223</v>
      </c>
      <c r="E66" s="9">
        <v>149</v>
      </c>
      <c r="F66" s="10">
        <v>9999</v>
      </c>
      <c r="G66" s="11">
        <v>9999</v>
      </c>
      <c r="H66" s="23">
        <f t="shared" si="2"/>
        <v>0</v>
      </c>
      <c r="I66" s="13">
        <f t="shared" si="3"/>
        <v>0</v>
      </c>
    </row>
    <row r="67" ht="20" customHeight="1" spans="1:9">
      <c r="A67" s="14" t="s">
        <v>341</v>
      </c>
      <c r="B67" s="15" t="s">
        <v>342</v>
      </c>
      <c r="C67" s="16" t="s">
        <v>298</v>
      </c>
      <c r="D67" s="17" t="s">
        <v>223</v>
      </c>
      <c r="E67" s="18">
        <v>105</v>
      </c>
      <c r="F67" s="19">
        <v>9999</v>
      </c>
      <c r="G67" s="20">
        <v>9999</v>
      </c>
      <c r="H67" s="23">
        <f t="shared" si="2"/>
        <v>0</v>
      </c>
      <c r="I67" s="21">
        <f t="shared" si="3"/>
        <v>0</v>
      </c>
    </row>
    <row r="68" ht="20" customHeight="1" spans="1:9">
      <c r="A68" s="5" t="s">
        <v>343</v>
      </c>
      <c r="B68" s="6" t="s">
        <v>344</v>
      </c>
      <c r="C68" s="7" t="s">
        <v>298</v>
      </c>
      <c r="D68" s="8" t="s">
        <v>223</v>
      </c>
      <c r="E68" s="9">
        <v>105</v>
      </c>
      <c r="F68" s="10">
        <v>9999</v>
      </c>
      <c r="G68" s="11">
        <v>9999</v>
      </c>
      <c r="H68" s="23">
        <f t="shared" si="2"/>
        <v>0</v>
      </c>
      <c r="I68" s="13">
        <f t="shared" si="3"/>
        <v>0</v>
      </c>
    </row>
    <row r="69" ht="20" customHeight="1" spans="1:9">
      <c r="A69" s="14" t="s">
        <v>345</v>
      </c>
      <c r="B69" s="15" t="s">
        <v>346</v>
      </c>
      <c r="C69" s="16" t="s">
        <v>298</v>
      </c>
      <c r="D69" s="17" t="s">
        <v>223</v>
      </c>
      <c r="E69" s="18">
        <v>149</v>
      </c>
      <c r="F69" s="19">
        <v>9999</v>
      </c>
      <c r="G69" s="20">
        <v>9999</v>
      </c>
      <c r="H69" s="23">
        <f t="shared" si="2"/>
        <v>0</v>
      </c>
      <c r="I69" s="21">
        <f t="shared" si="3"/>
        <v>0</v>
      </c>
    </row>
    <row r="70" ht="22" customHeight="1" spans="1:9">
      <c r="A70" s="24" t="s">
        <v>347</v>
      </c>
      <c r="B70" s="25"/>
      <c r="C70" s="25"/>
      <c r="D70" s="25"/>
      <c r="E70" s="25"/>
      <c r="F70" s="25"/>
      <c r="G70" s="25"/>
      <c r="H70" s="26">
        <f>SUM(H45:H69)</f>
        <v>247</v>
      </c>
      <c r="I70" s="27">
        <f>SUM(I45:I69)</f>
        <v>35759</v>
      </c>
    </row>
    <row r="71" ht="24" customHeight="1" spans="1:9">
      <c r="A71" s="29" t="s">
        <v>348</v>
      </c>
    </row>
    <row r="72" ht="20" customHeight="1" spans="1:9">
      <c r="A72" s="5" t="s">
        <v>349</v>
      </c>
      <c r="B72" s="6" t="s">
        <v>350</v>
      </c>
      <c r="C72" s="7" t="s">
        <v>351</v>
      </c>
      <c r="D72" s="8" t="s">
        <v>223</v>
      </c>
      <c r="E72" s="9">
        <v>129</v>
      </c>
      <c r="F72" s="10">
        <v>9999</v>
      </c>
      <c r="G72" s="11">
        <v>9974</v>
      </c>
      <c r="H72" s="12">
        <f>F72-G72</f>
        <v>25</v>
      </c>
      <c r="I72" s="13">
        <f>H72*E72</f>
        <v>3225</v>
      </c>
    </row>
    <row r="73" ht="20" customHeight="1" spans="1:9">
      <c r="A73" s="14" t="s">
        <v>352</v>
      </c>
      <c r="B73" s="15" t="s">
        <v>353</v>
      </c>
      <c r="C73" s="16" t="s">
        <v>351</v>
      </c>
      <c r="D73" s="17" t="s">
        <v>223</v>
      </c>
      <c r="E73" s="18">
        <v>129</v>
      </c>
      <c r="F73" s="19">
        <v>9999</v>
      </c>
      <c r="G73" s="20">
        <v>9976</v>
      </c>
      <c r="H73" s="12">
        <f>F73-G73</f>
        <v>23</v>
      </c>
      <c r="I73" s="21">
        <f>H73*E73</f>
        <v>2967</v>
      </c>
    </row>
    <row r="74" ht="20" customHeight="1" spans="1:9">
      <c r="A74" s="5" t="s">
        <v>354</v>
      </c>
      <c r="B74" s="6" t="s">
        <v>355</v>
      </c>
      <c r="C74" s="7" t="s">
        <v>351</v>
      </c>
      <c r="D74" s="8" t="s">
        <v>223</v>
      </c>
      <c r="E74" s="9">
        <v>129</v>
      </c>
      <c r="F74" s="10">
        <v>9999</v>
      </c>
      <c r="G74" s="11">
        <v>9979</v>
      </c>
      <c r="H74" s="12">
        <f>F74-G74</f>
        <v>20</v>
      </c>
      <c r="I74" s="13">
        <f>H74*E74</f>
        <v>2580</v>
      </c>
    </row>
    <row r="75" ht="20" customHeight="1" spans="1:9">
      <c r="A75" s="14" t="s">
        <v>356</v>
      </c>
      <c r="B75" s="15" t="s">
        <v>357</v>
      </c>
      <c r="C75" s="16" t="s">
        <v>351</v>
      </c>
      <c r="D75" s="17" t="s">
        <v>223</v>
      </c>
      <c r="E75" s="18">
        <v>129</v>
      </c>
      <c r="F75" s="19">
        <v>9999</v>
      </c>
      <c r="G75" s="20">
        <v>9991</v>
      </c>
      <c r="H75" s="22">
        <f>F75-G75</f>
        <v>8</v>
      </c>
      <c r="I75" s="21">
        <f>H75*E75</f>
        <v>1032</v>
      </c>
    </row>
    <row r="76" ht="20" customHeight="1" spans="1:9">
      <c r="A76" s="5" t="s">
        <v>358</v>
      </c>
      <c r="B76" s="6" t="s">
        <v>359</v>
      </c>
      <c r="C76" s="7" t="s">
        <v>351</v>
      </c>
      <c r="D76" s="8" t="s">
        <v>223</v>
      </c>
      <c r="E76" s="9">
        <v>129</v>
      </c>
      <c r="F76" s="10">
        <v>9999</v>
      </c>
      <c r="G76" s="11">
        <v>9994</v>
      </c>
      <c r="H76" s="22">
        <f>F76-G76</f>
        <v>5</v>
      </c>
      <c r="I76" s="13">
        <f>H76*E76</f>
        <v>645</v>
      </c>
    </row>
    <row r="77" ht="22" customHeight="1" spans="1:9">
      <c r="A77" s="24" t="s">
        <v>360</v>
      </c>
      <c r="B77" s="25"/>
      <c r="C77" s="25"/>
      <c r="D77" s="25"/>
      <c r="E77" s="25"/>
      <c r="F77" s="25"/>
      <c r="G77" s="25"/>
      <c r="H77" s="26">
        <f>SUM(H72:H76)</f>
        <v>81</v>
      </c>
      <c r="I77" s="27">
        <f>SUM(I72:I76)</f>
        <v>10449</v>
      </c>
    </row>
    <row r="78" ht="24" customHeight="1" spans="1:9">
      <c r="A78" s="30" t="s">
        <v>361</v>
      </c>
    </row>
    <row r="79" ht="20" customHeight="1" spans="1:9">
      <c r="A79" s="14" t="s">
        <v>362</v>
      </c>
      <c r="B79" s="15" t="s">
        <v>363</v>
      </c>
      <c r="C79" s="16" t="s">
        <v>364</v>
      </c>
      <c r="D79" s="17" t="s">
        <v>223</v>
      </c>
      <c r="E79" s="18">
        <v>129</v>
      </c>
      <c r="F79" s="19">
        <v>9999</v>
      </c>
      <c r="G79" s="20">
        <v>9995</v>
      </c>
      <c r="H79" s="22">
        <f t="shared" ref="H79:H84" si="4">F79-G79</f>
        <v>4</v>
      </c>
      <c r="I79" s="21">
        <f t="shared" ref="I79:I84" si="5">H79*E79</f>
        <v>516</v>
      </c>
    </row>
    <row r="80" ht="20" customHeight="1" spans="1:9">
      <c r="A80" s="5" t="s">
        <v>365</v>
      </c>
      <c r="B80" s="6" t="s">
        <v>366</v>
      </c>
      <c r="C80" s="7" t="s">
        <v>364</v>
      </c>
      <c r="D80" s="8" t="s">
        <v>223</v>
      </c>
      <c r="E80" s="9">
        <v>129</v>
      </c>
      <c r="F80" s="10">
        <v>9999</v>
      </c>
      <c r="G80" s="11">
        <v>9996</v>
      </c>
      <c r="H80" s="22">
        <f t="shared" si="4"/>
        <v>3</v>
      </c>
      <c r="I80" s="13">
        <f t="shared" si="5"/>
        <v>387</v>
      </c>
    </row>
    <row r="81" ht="20" customHeight="1" spans="1:9">
      <c r="A81" s="14" t="s">
        <v>367</v>
      </c>
      <c r="B81" s="15" t="s">
        <v>368</v>
      </c>
      <c r="C81" s="16" t="s">
        <v>364</v>
      </c>
      <c r="D81" s="17" t="s">
        <v>223</v>
      </c>
      <c r="E81" s="18">
        <v>129</v>
      </c>
      <c r="F81" s="19">
        <v>9999</v>
      </c>
      <c r="G81" s="20">
        <v>9996</v>
      </c>
      <c r="H81" s="22">
        <f t="shared" si="4"/>
        <v>3</v>
      </c>
      <c r="I81" s="21">
        <f t="shared" si="5"/>
        <v>387</v>
      </c>
    </row>
    <row r="82" ht="20" customHeight="1" spans="1:9">
      <c r="A82" s="5" t="s">
        <v>369</v>
      </c>
      <c r="B82" s="6" t="s">
        <v>370</v>
      </c>
      <c r="C82" s="7" t="s">
        <v>364</v>
      </c>
      <c r="D82" s="8" t="s">
        <v>223</v>
      </c>
      <c r="E82" s="9">
        <v>129</v>
      </c>
      <c r="F82" s="10">
        <v>9999</v>
      </c>
      <c r="G82" s="11">
        <v>9998</v>
      </c>
      <c r="H82" s="22">
        <f t="shared" si="4"/>
        <v>1</v>
      </c>
      <c r="I82" s="13">
        <f t="shared" si="5"/>
        <v>129</v>
      </c>
    </row>
    <row r="83" ht="20" customHeight="1" spans="1:9">
      <c r="A83" s="14" t="s">
        <v>371</v>
      </c>
      <c r="B83" s="15" t="s">
        <v>372</v>
      </c>
      <c r="C83" s="16" t="s">
        <v>364</v>
      </c>
      <c r="D83" s="17" t="s">
        <v>223</v>
      </c>
      <c r="E83" s="18">
        <v>149</v>
      </c>
      <c r="F83" s="19">
        <v>9999</v>
      </c>
      <c r="G83" s="20">
        <v>9999</v>
      </c>
      <c r="H83" s="23">
        <f t="shared" si="4"/>
        <v>0</v>
      </c>
      <c r="I83" s="21">
        <f t="shared" si="5"/>
        <v>0</v>
      </c>
    </row>
    <row r="84" ht="20" customHeight="1" spans="1:9">
      <c r="A84" s="5" t="s">
        <v>373</v>
      </c>
      <c r="B84" s="6" t="s">
        <v>374</v>
      </c>
      <c r="C84" s="7" t="s">
        <v>364</v>
      </c>
      <c r="D84" s="8" t="s">
        <v>223</v>
      </c>
      <c r="E84" s="9">
        <v>129</v>
      </c>
      <c r="F84" s="10">
        <v>9999</v>
      </c>
      <c r="G84" s="11">
        <v>9999</v>
      </c>
      <c r="H84" s="23">
        <f t="shared" si="4"/>
        <v>0</v>
      </c>
      <c r="I84" s="13">
        <f t="shared" si="5"/>
        <v>0</v>
      </c>
    </row>
    <row r="85" ht="22" customHeight="1" spans="1:9">
      <c r="A85" s="24" t="s">
        <v>375</v>
      </c>
      <c r="B85" s="25"/>
      <c r="C85" s="25"/>
      <c r="D85" s="25"/>
      <c r="E85" s="25"/>
      <c r="F85" s="25"/>
      <c r="G85" s="25"/>
      <c r="H85" s="26">
        <f>SUM(H79:H84)</f>
        <v>11</v>
      </c>
      <c r="I85" s="27">
        <f>SUM(I79:I84)</f>
        <v>1419</v>
      </c>
    </row>
    <row r="86" ht="24" customHeight="1" spans="1:9">
      <c r="A86" s="31" t="s">
        <v>376</v>
      </c>
    </row>
    <row r="87" ht="20" customHeight="1" spans="1:9">
      <c r="A87" s="14" t="s">
        <v>377</v>
      </c>
      <c r="B87" s="15" t="s">
        <v>378</v>
      </c>
      <c r="C87" s="16" t="s">
        <v>379</v>
      </c>
      <c r="D87" s="17" t="s">
        <v>223</v>
      </c>
      <c r="E87" s="18">
        <v>149</v>
      </c>
      <c r="F87" s="19">
        <v>9999</v>
      </c>
      <c r="G87" s="20">
        <v>9988</v>
      </c>
      <c r="H87" s="22">
        <f t="shared" ref="H87:H98" si="6">F87-G87</f>
        <v>11</v>
      </c>
      <c r="I87" s="21">
        <f t="shared" ref="I87:I98" si="7">H87*E87</f>
        <v>1639</v>
      </c>
    </row>
    <row r="88" ht="20" customHeight="1" spans="1:9">
      <c r="A88" s="5" t="s">
        <v>380</v>
      </c>
      <c r="B88" s="6" t="s">
        <v>381</v>
      </c>
      <c r="C88" s="7" t="s">
        <v>379</v>
      </c>
      <c r="D88" s="8" t="s">
        <v>223</v>
      </c>
      <c r="E88" s="9">
        <v>149</v>
      </c>
      <c r="F88" s="10">
        <v>9999</v>
      </c>
      <c r="G88" s="11">
        <v>9992</v>
      </c>
      <c r="H88" s="22">
        <f t="shared" si="6"/>
        <v>7</v>
      </c>
      <c r="I88" s="13">
        <f t="shared" si="7"/>
        <v>1043</v>
      </c>
    </row>
    <row r="89" ht="20" customHeight="1" spans="1:9">
      <c r="A89" s="14" t="s">
        <v>382</v>
      </c>
      <c r="B89" s="15" t="s">
        <v>383</v>
      </c>
      <c r="C89" s="16" t="s">
        <v>379</v>
      </c>
      <c r="D89" s="17" t="s">
        <v>223</v>
      </c>
      <c r="E89" s="18">
        <v>149</v>
      </c>
      <c r="F89" s="19">
        <v>9999</v>
      </c>
      <c r="G89" s="20">
        <v>9995</v>
      </c>
      <c r="H89" s="22">
        <f t="shared" si="6"/>
        <v>4</v>
      </c>
      <c r="I89" s="21">
        <f t="shared" si="7"/>
        <v>596</v>
      </c>
    </row>
    <row r="90" ht="20" customHeight="1" spans="1:9">
      <c r="A90" s="5" t="s">
        <v>384</v>
      </c>
      <c r="B90" s="6" t="s">
        <v>385</v>
      </c>
      <c r="C90" s="7" t="s">
        <v>379</v>
      </c>
      <c r="D90" s="8" t="s">
        <v>223</v>
      </c>
      <c r="E90" s="9">
        <v>149</v>
      </c>
      <c r="F90" s="10">
        <v>9999</v>
      </c>
      <c r="G90" s="11">
        <v>9996</v>
      </c>
      <c r="H90" s="22">
        <f t="shared" si="6"/>
        <v>3</v>
      </c>
      <c r="I90" s="13">
        <f t="shared" si="7"/>
        <v>447</v>
      </c>
    </row>
    <row r="91" ht="20" customHeight="1" spans="1:9">
      <c r="A91" s="14" t="s">
        <v>386</v>
      </c>
      <c r="B91" s="15" t="s">
        <v>387</v>
      </c>
      <c r="C91" s="16" t="s">
        <v>379</v>
      </c>
      <c r="D91" s="17" t="s">
        <v>223</v>
      </c>
      <c r="E91" s="18">
        <v>149</v>
      </c>
      <c r="F91" s="19">
        <v>9999</v>
      </c>
      <c r="G91" s="20">
        <v>9997</v>
      </c>
      <c r="H91" s="22">
        <f t="shared" si="6"/>
        <v>2</v>
      </c>
      <c r="I91" s="21">
        <f t="shared" si="7"/>
        <v>298</v>
      </c>
    </row>
    <row r="92" ht="20" customHeight="1" spans="1:9">
      <c r="A92" s="5" t="s">
        <v>388</v>
      </c>
      <c r="B92" s="6" t="s">
        <v>389</v>
      </c>
      <c r="C92" s="7" t="s">
        <v>379</v>
      </c>
      <c r="D92" s="8" t="s">
        <v>223</v>
      </c>
      <c r="E92" s="9">
        <v>149</v>
      </c>
      <c r="F92" s="10">
        <v>9999</v>
      </c>
      <c r="G92" s="11">
        <v>9999</v>
      </c>
      <c r="H92" s="23">
        <f t="shared" si="6"/>
        <v>0</v>
      </c>
      <c r="I92" s="13">
        <f t="shared" si="7"/>
        <v>0</v>
      </c>
    </row>
    <row r="93" ht="20" customHeight="1" spans="1:9">
      <c r="A93" s="14" t="s">
        <v>390</v>
      </c>
      <c r="B93" s="15" t="s">
        <v>391</v>
      </c>
      <c r="C93" s="16" t="s">
        <v>379</v>
      </c>
      <c r="D93" s="17" t="s">
        <v>223</v>
      </c>
      <c r="E93" s="18">
        <v>105</v>
      </c>
      <c r="F93" s="19">
        <v>9999</v>
      </c>
      <c r="G93" s="20">
        <v>9999</v>
      </c>
      <c r="H93" s="23">
        <f t="shared" si="6"/>
        <v>0</v>
      </c>
      <c r="I93" s="21">
        <f t="shared" si="7"/>
        <v>0</v>
      </c>
    </row>
    <row r="94" ht="20" customHeight="1" spans="1:9">
      <c r="A94" s="5" t="s">
        <v>392</v>
      </c>
      <c r="B94" s="6" t="s">
        <v>393</v>
      </c>
      <c r="C94" s="7" t="s">
        <v>379</v>
      </c>
      <c r="D94" s="8" t="s">
        <v>223</v>
      </c>
      <c r="E94" s="9">
        <v>105</v>
      </c>
      <c r="F94" s="10">
        <v>9999</v>
      </c>
      <c r="G94" s="11">
        <v>9999</v>
      </c>
      <c r="H94" s="23">
        <f t="shared" si="6"/>
        <v>0</v>
      </c>
      <c r="I94" s="13">
        <f t="shared" si="7"/>
        <v>0</v>
      </c>
    </row>
    <row r="95" ht="20" customHeight="1" spans="1:9">
      <c r="A95" s="14" t="s">
        <v>394</v>
      </c>
      <c r="B95" s="15" t="s">
        <v>395</v>
      </c>
      <c r="C95" s="16" t="s">
        <v>379</v>
      </c>
      <c r="D95" s="17" t="s">
        <v>223</v>
      </c>
      <c r="E95" s="18">
        <v>105</v>
      </c>
      <c r="F95" s="19">
        <v>9999</v>
      </c>
      <c r="G95" s="20">
        <v>9999</v>
      </c>
      <c r="H95" s="23">
        <f t="shared" si="6"/>
        <v>0</v>
      </c>
      <c r="I95" s="21">
        <f t="shared" si="7"/>
        <v>0</v>
      </c>
    </row>
    <row r="96" ht="20" customHeight="1" spans="1:9">
      <c r="A96" s="5" t="s">
        <v>396</v>
      </c>
      <c r="B96" s="6" t="s">
        <v>397</v>
      </c>
      <c r="C96" s="7" t="s">
        <v>379</v>
      </c>
      <c r="D96" s="8" t="s">
        <v>223</v>
      </c>
      <c r="E96" s="9">
        <v>105</v>
      </c>
      <c r="F96" s="10">
        <v>9999</v>
      </c>
      <c r="G96" s="11">
        <v>9999</v>
      </c>
      <c r="H96" s="23">
        <f t="shared" si="6"/>
        <v>0</v>
      </c>
      <c r="I96" s="13">
        <f t="shared" si="7"/>
        <v>0</v>
      </c>
    </row>
    <row r="97" ht="20" customHeight="1" spans="1:9">
      <c r="A97" s="14" t="s">
        <v>398</v>
      </c>
      <c r="B97" s="15" t="s">
        <v>399</v>
      </c>
      <c r="C97" s="16" t="s">
        <v>379</v>
      </c>
      <c r="D97" s="17" t="s">
        <v>223</v>
      </c>
      <c r="E97" s="18">
        <v>105</v>
      </c>
      <c r="F97" s="19">
        <v>9999</v>
      </c>
      <c r="G97" s="20">
        <v>9999</v>
      </c>
      <c r="H97" s="23">
        <f t="shared" si="6"/>
        <v>0</v>
      </c>
      <c r="I97" s="21">
        <f t="shared" si="7"/>
        <v>0</v>
      </c>
    </row>
    <row r="98" ht="20" customHeight="1" spans="1:9">
      <c r="A98" s="5" t="s">
        <v>400</v>
      </c>
      <c r="B98" s="6" t="s">
        <v>401</v>
      </c>
      <c r="C98" s="7" t="s">
        <v>379</v>
      </c>
      <c r="D98" s="8" t="s">
        <v>223</v>
      </c>
      <c r="E98" s="9">
        <v>149</v>
      </c>
      <c r="F98" s="10">
        <v>9999</v>
      </c>
      <c r="G98" s="11">
        <v>9999</v>
      </c>
      <c r="H98" s="23">
        <f t="shared" si="6"/>
        <v>0</v>
      </c>
      <c r="I98" s="13">
        <f t="shared" si="7"/>
        <v>0</v>
      </c>
    </row>
    <row r="99" ht="22" customHeight="1" spans="1:9">
      <c r="A99" s="24" t="s">
        <v>402</v>
      </c>
      <c r="B99" s="25"/>
      <c r="C99" s="25"/>
      <c r="D99" s="25"/>
      <c r="E99" s="25"/>
      <c r="F99" s="25"/>
      <c r="G99" s="25"/>
      <c r="H99" s="26">
        <f>SUM(H87:H98)</f>
        <v>27</v>
      </c>
      <c r="I99" s="27">
        <f>SUM(I87:I98)</f>
        <v>4023</v>
      </c>
    </row>
    <row r="100" ht="24" customHeight="1" spans="1:9">
      <c r="A100" s="32" t="s">
        <v>403</v>
      </c>
    </row>
    <row r="101" ht="20" customHeight="1" spans="1:9">
      <c r="A101" s="14" t="s">
        <v>404</v>
      </c>
      <c r="B101" s="15" t="s">
        <v>405</v>
      </c>
      <c r="C101" s="16" t="s">
        <v>406</v>
      </c>
      <c r="D101" s="17" t="s">
        <v>223</v>
      </c>
      <c r="E101" s="18">
        <v>169</v>
      </c>
      <c r="F101" s="19">
        <v>9999</v>
      </c>
      <c r="G101" s="20">
        <v>9997</v>
      </c>
      <c r="H101" s="22">
        <f t="shared" ref="H101:H107" si="8">F101-G101</f>
        <v>2</v>
      </c>
      <c r="I101" s="21">
        <f t="shared" ref="I101:I107" si="9">H101*E101</f>
        <v>338</v>
      </c>
    </row>
    <row r="102" ht="20" customHeight="1" spans="1:9">
      <c r="A102" s="5" t="s">
        <v>407</v>
      </c>
      <c r="B102" s="6" t="s">
        <v>408</v>
      </c>
      <c r="C102" s="7" t="s">
        <v>406</v>
      </c>
      <c r="D102" s="8" t="s">
        <v>223</v>
      </c>
      <c r="E102" s="9">
        <v>169</v>
      </c>
      <c r="F102" s="10">
        <v>9999</v>
      </c>
      <c r="G102" s="11">
        <v>9998</v>
      </c>
      <c r="H102" s="22">
        <f t="shared" si="8"/>
        <v>1</v>
      </c>
      <c r="I102" s="13">
        <f t="shared" si="9"/>
        <v>169</v>
      </c>
    </row>
    <row r="103" ht="20" customHeight="1" spans="1:9">
      <c r="A103" s="14" t="s">
        <v>409</v>
      </c>
      <c r="B103" s="15" t="s">
        <v>410</v>
      </c>
      <c r="C103" s="16" t="s">
        <v>406</v>
      </c>
      <c r="D103" s="17" t="s">
        <v>223</v>
      </c>
      <c r="E103" s="18">
        <v>169</v>
      </c>
      <c r="F103" s="19">
        <v>9999</v>
      </c>
      <c r="G103" s="20">
        <v>9998</v>
      </c>
      <c r="H103" s="22">
        <f t="shared" si="8"/>
        <v>1</v>
      </c>
      <c r="I103" s="21">
        <f t="shared" si="9"/>
        <v>169</v>
      </c>
    </row>
    <row r="104" ht="20" customHeight="1" spans="1:9">
      <c r="A104" s="5" t="s">
        <v>411</v>
      </c>
      <c r="B104" s="6" t="s">
        <v>412</v>
      </c>
      <c r="C104" s="7" t="s">
        <v>406</v>
      </c>
      <c r="D104" s="8" t="s">
        <v>223</v>
      </c>
      <c r="E104" s="9">
        <v>169</v>
      </c>
      <c r="F104" s="10">
        <v>9999</v>
      </c>
      <c r="G104" s="11">
        <v>9998</v>
      </c>
      <c r="H104" s="22">
        <f t="shared" si="8"/>
        <v>1</v>
      </c>
      <c r="I104" s="13">
        <f t="shared" si="9"/>
        <v>169</v>
      </c>
    </row>
    <row r="105" ht="20" customHeight="1" spans="1:9">
      <c r="A105" s="14" t="s">
        <v>413</v>
      </c>
      <c r="B105" s="15" t="s">
        <v>414</v>
      </c>
      <c r="C105" s="16" t="s">
        <v>406</v>
      </c>
      <c r="D105" s="17" t="s">
        <v>223</v>
      </c>
      <c r="E105" s="18">
        <v>169</v>
      </c>
      <c r="F105" s="19">
        <v>9999</v>
      </c>
      <c r="G105" s="20">
        <v>9999</v>
      </c>
      <c r="H105" s="23">
        <f t="shared" si="8"/>
        <v>0</v>
      </c>
      <c r="I105" s="21">
        <f t="shared" si="9"/>
        <v>0</v>
      </c>
    </row>
    <row r="106" ht="20" customHeight="1" spans="1:9">
      <c r="A106" s="5" t="s">
        <v>415</v>
      </c>
      <c r="B106" s="6" t="s">
        <v>416</v>
      </c>
      <c r="C106" s="7" t="s">
        <v>406</v>
      </c>
      <c r="D106" s="8" t="s">
        <v>223</v>
      </c>
      <c r="E106" s="9">
        <v>169</v>
      </c>
      <c r="F106" s="10">
        <v>9999</v>
      </c>
      <c r="G106" s="11">
        <v>9999</v>
      </c>
      <c r="H106" s="23">
        <f t="shared" si="8"/>
        <v>0</v>
      </c>
      <c r="I106" s="13">
        <f t="shared" si="9"/>
        <v>0</v>
      </c>
    </row>
    <row r="107" ht="20" customHeight="1" spans="1:9">
      <c r="A107" s="14" t="s">
        <v>417</v>
      </c>
      <c r="B107" s="15" t="s">
        <v>418</v>
      </c>
      <c r="C107" s="16" t="s">
        <v>406</v>
      </c>
      <c r="D107" s="17" t="s">
        <v>223</v>
      </c>
      <c r="E107" s="18">
        <v>169</v>
      </c>
      <c r="F107" s="19">
        <v>9999</v>
      </c>
      <c r="G107" s="20">
        <v>9999</v>
      </c>
      <c r="H107" s="23">
        <f t="shared" si="8"/>
        <v>0</v>
      </c>
      <c r="I107" s="21">
        <f t="shared" si="9"/>
        <v>0</v>
      </c>
    </row>
    <row r="108" ht="22" customHeight="1" spans="1:9">
      <c r="A108" s="24" t="s">
        <v>419</v>
      </c>
      <c r="B108" s="25"/>
      <c r="C108" s="25"/>
      <c r="D108" s="25"/>
      <c r="E108" s="25"/>
      <c r="F108" s="25"/>
      <c r="G108" s="25"/>
      <c r="H108" s="26">
        <f>SUM(H101:H107)</f>
        <v>5</v>
      </c>
      <c r="I108" s="27">
        <f>SUM(I101:I107)</f>
        <v>845</v>
      </c>
    </row>
    <row r="109" ht="24" customHeight="1" spans="1:9">
      <c r="A109" s="33" t="s">
        <v>420</v>
      </c>
    </row>
    <row r="110" ht="20" customHeight="1" spans="1:9">
      <c r="A110" s="5" t="s">
        <v>421</v>
      </c>
      <c r="B110" s="6" t="s">
        <v>422</v>
      </c>
      <c r="C110" s="7" t="s">
        <v>423</v>
      </c>
      <c r="D110" s="8" t="s">
        <v>424</v>
      </c>
      <c r="E110" s="9">
        <v>149</v>
      </c>
      <c r="F110" s="10">
        <v>100</v>
      </c>
      <c r="G110" s="11">
        <v>91</v>
      </c>
      <c r="H110" s="22">
        <f t="shared" ref="H110:H119" si="10">F110-G110</f>
        <v>9</v>
      </c>
      <c r="I110" s="13">
        <f t="shared" ref="I110:I119" si="11">H110*E110</f>
        <v>1341</v>
      </c>
    </row>
    <row r="111" ht="20" customHeight="1" spans="1:9">
      <c r="A111" s="14" t="s">
        <v>425</v>
      </c>
      <c r="B111" s="15" t="s">
        <v>426</v>
      </c>
      <c r="C111" s="16" t="s">
        <v>423</v>
      </c>
      <c r="D111" s="17" t="s">
        <v>223</v>
      </c>
      <c r="E111" s="18">
        <v>99</v>
      </c>
      <c r="F111" s="19">
        <v>9999</v>
      </c>
      <c r="G111" s="20">
        <v>9995</v>
      </c>
      <c r="H111" s="22">
        <f t="shared" si="10"/>
        <v>4</v>
      </c>
      <c r="I111" s="21">
        <f t="shared" si="11"/>
        <v>396</v>
      </c>
    </row>
    <row r="112" ht="20" customHeight="1" spans="1:9">
      <c r="A112" s="5" t="s">
        <v>427</v>
      </c>
      <c r="B112" s="6" t="s">
        <v>428</v>
      </c>
      <c r="C112" s="7" t="s">
        <v>423</v>
      </c>
      <c r="D112" s="8" t="s">
        <v>223</v>
      </c>
      <c r="E112" s="9">
        <v>129</v>
      </c>
      <c r="F112" s="10">
        <v>9999</v>
      </c>
      <c r="G112" s="11">
        <v>9995</v>
      </c>
      <c r="H112" s="22">
        <f t="shared" si="10"/>
        <v>4</v>
      </c>
      <c r="I112" s="13">
        <f t="shared" si="11"/>
        <v>516</v>
      </c>
    </row>
    <row r="113" ht="20" customHeight="1" spans="1:9">
      <c r="A113" s="14" t="s">
        <v>429</v>
      </c>
      <c r="B113" s="15" t="s">
        <v>430</v>
      </c>
      <c r="C113" s="16" t="s">
        <v>423</v>
      </c>
      <c r="D113" s="17" t="s">
        <v>424</v>
      </c>
      <c r="E113" s="18">
        <v>149</v>
      </c>
      <c r="F113" s="19">
        <v>100</v>
      </c>
      <c r="G113" s="20">
        <v>98</v>
      </c>
      <c r="H113" s="22">
        <f t="shared" si="10"/>
        <v>2</v>
      </c>
      <c r="I113" s="21">
        <f t="shared" si="11"/>
        <v>298</v>
      </c>
    </row>
    <row r="114" ht="20" customHeight="1" spans="1:9">
      <c r="A114" s="5" t="s">
        <v>431</v>
      </c>
      <c r="B114" s="6" t="s">
        <v>432</v>
      </c>
      <c r="C114" s="7" t="s">
        <v>423</v>
      </c>
      <c r="D114" s="8" t="s">
        <v>223</v>
      </c>
      <c r="E114" s="9">
        <v>99</v>
      </c>
      <c r="F114" s="10">
        <v>9999</v>
      </c>
      <c r="G114" s="11">
        <v>9999</v>
      </c>
      <c r="H114" s="23">
        <f t="shared" si="10"/>
        <v>0</v>
      </c>
      <c r="I114" s="13">
        <f t="shared" si="11"/>
        <v>0</v>
      </c>
    </row>
    <row r="115" ht="20" customHeight="1" spans="1:9">
      <c r="A115" s="14" t="s">
        <v>433</v>
      </c>
      <c r="B115" s="15" t="s">
        <v>434</v>
      </c>
      <c r="C115" s="16" t="s">
        <v>423</v>
      </c>
      <c r="D115" s="17" t="s">
        <v>424</v>
      </c>
      <c r="E115" s="18">
        <v>149</v>
      </c>
      <c r="F115" s="19">
        <v>100</v>
      </c>
      <c r="G115" s="20">
        <v>100</v>
      </c>
      <c r="H115" s="23">
        <f t="shared" si="10"/>
        <v>0</v>
      </c>
      <c r="I115" s="21">
        <f t="shared" si="11"/>
        <v>0</v>
      </c>
    </row>
    <row r="116" ht="20" customHeight="1" spans="1:9">
      <c r="A116" s="5" t="s">
        <v>435</v>
      </c>
      <c r="B116" s="6" t="s">
        <v>436</v>
      </c>
      <c r="C116" s="7" t="s">
        <v>423</v>
      </c>
      <c r="D116" s="8" t="s">
        <v>424</v>
      </c>
      <c r="E116" s="9">
        <v>149</v>
      </c>
      <c r="F116" s="10">
        <v>100</v>
      </c>
      <c r="G116" s="11">
        <v>100</v>
      </c>
      <c r="H116" s="23">
        <f t="shared" si="10"/>
        <v>0</v>
      </c>
      <c r="I116" s="13">
        <f t="shared" si="11"/>
        <v>0</v>
      </c>
    </row>
    <row r="117" ht="20" customHeight="1" spans="1:9">
      <c r="A117" s="14" t="s">
        <v>437</v>
      </c>
      <c r="B117" s="15" t="s">
        <v>438</v>
      </c>
      <c r="C117" s="16" t="s">
        <v>423</v>
      </c>
      <c r="D117" s="17" t="s">
        <v>424</v>
      </c>
      <c r="E117" s="18">
        <v>149</v>
      </c>
      <c r="F117" s="19">
        <v>100</v>
      </c>
      <c r="G117" s="20">
        <v>100</v>
      </c>
      <c r="H117" s="23">
        <f t="shared" si="10"/>
        <v>0</v>
      </c>
      <c r="I117" s="21">
        <f t="shared" si="11"/>
        <v>0</v>
      </c>
    </row>
    <row r="118" ht="20" customHeight="1" spans="1:9">
      <c r="A118" s="5" t="s">
        <v>439</v>
      </c>
      <c r="B118" s="6" t="s">
        <v>440</v>
      </c>
      <c r="C118" s="7" t="s">
        <v>423</v>
      </c>
      <c r="D118" s="8" t="s">
        <v>424</v>
      </c>
      <c r="E118" s="9">
        <v>149</v>
      </c>
      <c r="F118" s="10">
        <v>100</v>
      </c>
      <c r="G118" s="11">
        <v>100</v>
      </c>
      <c r="H118" s="23">
        <f t="shared" si="10"/>
        <v>0</v>
      </c>
      <c r="I118" s="13">
        <f t="shared" si="11"/>
        <v>0</v>
      </c>
    </row>
    <row r="119" ht="20" customHeight="1" spans="1:9">
      <c r="A119" s="14" t="s">
        <v>441</v>
      </c>
      <c r="B119" s="15" t="s">
        <v>442</v>
      </c>
      <c r="C119" s="16" t="s">
        <v>423</v>
      </c>
      <c r="D119" s="17" t="s">
        <v>223</v>
      </c>
      <c r="E119" s="18">
        <v>129</v>
      </c>
      <c r="F119" s="19">
        <v>9999</v>
      </c>
      <c r="G119" s="20">
        <v>9999</v>
      </c>
      <c r="H119" s="23">
        <f t="shared" si="10"/>
        <v>0</v>
      </c>
      <c r="I119" s="21">
        <f t="shared" si="11"/>
        <v>0</v>
      </c>
    </row>
    <row r="120" ht="22" customHeight="1" spans="1:9">
      <c r="A120" s="24" t="s">
        <v>443</v>
      </c>
      <c r="B120" s="25"/>
      <c r="C120" s="25"/>
      <c r="D120" s="25"/>
      <c r="E120" s="25"/>
      <c r="F120" s="25"/>
      <c r="G120" s="25"/>
      <c r="H120" s="26">
        <f>SUM(H110:H119)</f>
        <v>19</v>
      </c>
      <c r="I120" s="27">
        <f>SUM(I110:I119)</f>
        <v>2551</v>
      </c>
    </row>
    <row r="121" ht="28" customHeight="1" spans="1:9">
      <c r="A121" s="34" t="s">
        <v>444</v>
      </c>
      <c r="B121" s="35"/>
      <c r="C121" s="35"/>
      <c r="D121" s="35"/>
      <c r="E121" s="35"/>
      <c r="F121" s="35"/>
      <c r="G121" s="35"/>
      <c r="H121" s="36">
        <f>H43+H70+H77+H85+H99+H108+H120</f>
        <v>570</v>
      </c>
      <c r="I121" s="37">
        <f>I43+I70+I77+I85+I99+I108+I120</f>
        <v>75944</v>
      </c>
    </row>
    <row r="122" ht="15.25"/>
  </sheetData>
  <mergeCells count="17">
    <mergeCell ref="A1:I1"/>
    <mergeCell ref="A2:I2"/>
    <mergeCell ref="A5:I5"/>
    <mergeCell ref="A43:G43"/>
    <mergeCell ref="A44:I44"/>
    <mergeCell ref="A70:G70"/>
    <mergeCell ref="A71:I71"/>
    <mergeCell ref="A77:G77"/>
    <mergeCell ref="A78:I78"/>
    <mergeCell ref="A85:G85"/>
    <mergeCell ref="A86:I86"/>
    <mergeCell ref="A99:G99"/>
    <mergeCell ref="A100:I100"/>
    <mergeCell ref="A108:G108"/>
    <mergeCell ref="A109:I109"/>
    <mergeCell ref="A120:G120"/>
    <mergeCell ref="A121:G121"/>
  </mergeCells>
  <pageMargins left="0.078740157480315" right="0.078740157480315" top="0.078740157480315" bottom="0.078740157480315" header="0.078740157480315" footer="0.078740157480315"/>
  <pageSetup paperSize="9" scale="65" fitToHeight="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📋 Complete Inventory Audit</vt:lpstr>
      <vt:lpstr>☕ Beverage Sales &amp; Variance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2026-09-22T01:57:00Z</dcterms:created>
  <cp:lastPrinted>2026-09-24T02:04:00Z</cp:lastPrinted>
  <dcterms:modified xsi:type="dcterms:W3CDTF">2026-09-24T06:29:58Z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EBBC3A27AE4E4728B1380C718141EAA9_12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