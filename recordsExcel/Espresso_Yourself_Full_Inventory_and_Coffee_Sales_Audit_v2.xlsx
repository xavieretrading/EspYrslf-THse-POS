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"/>
  </bookViews>
  <sheets>
    <sheet name="📋 Complete Inventory Audit" sheetId="1" r:id="rId1"/>
    <sheet name="☕ Beverage Sales &amp; Variance" sheetId="2" r:id="rId2"/>
    <sheet name="Pull-Outs &amp; Wastag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<sst xmlns="http://schemas.openxmlformats.org/spreadsheetml/2006/main" count="612" uniqueCount="322">
  <si>
    <t>ESPRESSO YOURSELF &amp; TEA HOUSE — COMPREHENSIVE INVENTORY RECONCILIATION</t>
  </si>
  <si>
    <t>SKU / Code</t>
  </si>
  <si>
    <t>Item Description &amp; Specifications</t>
  </si>
  <si>
    <t>UOM</t>
  </si>
  <si>
    <t>Unit Cost (₱)</t>
  </si>
  <si>
    <t>Beginning Stock
(Aug 8)</t>
  </si>
  <si>
    <t>Additional Stock
(Aug 13 - Sept 3)</t>
  </si>
  <si>
    <t>Total Available
Stock</t>
  </si>
  <si>
    <t>Sales</t>
  </si>
  <si>
    <t>Current</t>
  </si>
  <si>
    <t>📦  1. CUPS &amp; PACKAGING CONSUMABLES</t>
  </si>
  <si>
    <t>PKG-001</t>
  </si>
  <si>
    <t>Plastic Cup 16oz (Cold PET)</t>
  </si>
  <si>
    <t>pcs</t>
  </si>
  <si>
    <t>PKG-002</t>
  </si>
  <si>
    <t>Paper Cup 16oz (Hot Large)</t>
  </si>
  <si>
    <t>PKG-003</t>
  </si>
  <si>
    <t>Paper Cup 8oz (Hot Small)</t>
  </si>
  <si>
    <t>☕  2. COFFEE BEANS &amp; SPECIALTY ROASTS</t>
  </si>
  <si>
    <t>ING-001</t>
  </si>
  <si>
    <t>Concept Blend 1 (Espresso Beans)</t>
  </si>
  <si>
    <t>pack (1kg)</t>
  </si>
  <si>
    <t>ING-002</t>
  </si>
  <si>
    <t>Australia's Own / Artisanal Roast</t>
  </si>
  <si>
    <t>🍯  3. TORANI FLAVOR SYRUPS &amp; PURÉES</t>
  </si>
  <si>
    <t>TOR-001</t>
  </si>
  <si>
    <t>Torani Irish Cream Syrup 750ml</t>
  </si>
  <si>
    <t>bottle</t>
  </si>
  <si>
    <t>TOR-002</t>
  </si>
  <si>
    <t>Torani Salted Caramel Syrup 750ml</t>
  </si>
  <si>
    <t>TOR-003</t>
  </si>
  <si>
    <t>Torani White Chocolate Syrup 750ml</t>
  </si>
  <si>
    <t>TOR-004</t>
  </si>
  <si>
    <t>Torani French Vanilla Syrup 750ml</t>
  </si>
  <si>
    <t>TOR-005</t>
  </si>
  <si>
    <t>Torani Macadamia Nut Syrup 750ml</t>
  </si>
  <si>
    <t>TOR-006</t>
  </si>
  <si>
    <t>Torani Hazelnut Syrup 750ml</t>
  </si>
  <si>
    <t>TOR-007</t>
  </si>
  <si>
    <t>Torani Butterscotch Syrup 750ml</t>
  </si>
  <si>
    <t>TOR-008</t>
  </si>
  <si>
    <t>Torani Pomegranate Syrup 750ml</t>
  </si>
  <si>
    <t>TOR-009</t>
  </si>
  <si>
    <t>Torani Lychee Syrup 750ml</t>
  </si>
  <si>
    <t>TOR-010</t>
  </si>
  <si>
    <t>Torani Caramel Sauce / Syrup (Gallon)</t>
  </si>
  <si>
    <t>gallon</t>
  </si>
  <si>
    <t>TOR-011</t>
  </si>
  <si>
    <t>Torani Mango Purée Blend 1.89L</t>
  </si>
  <si>
    <t>TOR-012</t>
  </si>
  <si>
    <t>Torani Strawberry Purée Blend 1.89L</t>
  </si>
  <si>
    <t>✨  4. SHOTT NEW ZEALAND PREMIUM SYRUPS</t>
  </si>
  <si>
    <t>SHT-001</t>
  </si>
  <si>
    <t>SHOTT Pink Guava Syrup 1L</t>
  </si>
  <si>
    <t>bottle (1L)</t>
  </si>
  <si>
    <t>SHT-002</t>
  </si>
  <si>
    <t>SHOTT Irish Cream Syrup 1L</t>
  </si>
  <si>
    <t>SHT-003</t>
  </si>
  <si>
    <t>SHOTT Mango Syrup 1L</t>
  </si>
  <si>
    <t>SHT-004</t>
  </si>
  <si>
    <t>SHOTT Macadamia Syrup 1L</t>
  </si>
  <si>
    <t>SHT-005</t>
  </si>
  <si>
    <t>SHOTT Vanilla Syrup 1L</t>
  </si>
  <si>
    <t>SHT-006</t>
  </si>
  <si>
    <t>SHOTT Lychee Syrup 1L</t>
  </si>
  <si>
    <t>SHT-007</t>
  </si>
  <si>
    <t>SHOTT Pomegranate Syrup 1L</t>
  </si>
  <si>
    <t>🧈  5. CONDIMENTS, SPREADS &amp; MIXES</t>
  </si>
  <si>
    <t>MIX-001</t>
  </si>
  <si>
    <t>Biscoff Sauce Mix (In-House Prep)</t>
  </si>
  <si>
    <t>grams</t>
  </si>
  <si>
    <t>MIX-002</t>
  </si>
  <si>
    <t>Lotus Biscoff Spread Smooth 400g</t>
  </si>
  <si>
    <t>MIX-003</t>
  </si>
  <si>
    <t>Lotus Biscoff Biscuits (Garnish)</t>
  </si>
  <si>
    <t>MIX-004</t>
  </si>
  <si>
    <t>Sugar Syrup (Hi-Fructose 500ml)</t>
  </si>
  <si>
    <t>bottles</t>
  </si>
  <si>
    <t>MIX-005</t>
  </si>
  <si>
    <t>Caramel Mix (Bakersfield Caramel Fudge)</t>
  </si>
  <si>
    <t>MIX-006</t>
  </si>
  <si>
    <t>Doreen Condensed Milk 390g</t>
  </si>
  <si>
    <t>cans</t>
  </si>
  <si>
    <t>🍃  6. POWDERS &amp; BREWING TEA LEAVES</t>
  </si>
  <si>
    <t>POW-001</t>
  </si>
  <si>
    <t>Oreo Crushed Cookie Crumbs 454g</t>
  </si>
  <si>
    <t>POW-002</t>
  </si>
  <si>
    <t>Easy Cookies &amp; Cream Powder 1kg</t>
  </si>
  <si>
    <t>POW-003</t>
  </si>
  <si>
    <t>Matcha Powder (Pure / Culinary)</t>
  </si>
  <si>
    <t>POW-004</t>
  </si>
  <si>
    <t>Black Tea Leaves (Possmei Assam)</t>
  </si>
  <si>
    <t>POW-005</t>
  </si>
  <si>
    <t>Jasmine Green Tea Leaves (Possmei)</t>
  </si>
  <si>
    <t>POW-006</t>
  </si>
  <si>
    <t>Easy Dark Choco Powder Base 1kg</t>
  </si>
  <si>
    <t>POW-007</t>
  </si>
  <si>
    <t>Artisanal Salted Cream Cheese Powder</t>
  </si>
  <si>
    <t>🍵  7. DILMAH SPECIALTY TEA PACKS</t>
  </si>
  <si>
    <t>DLM-001</t>
  </si>
  <si>
    <t>Dilmah Pure Chamomile Flowers Tea</t>
  </si>
  <si>
    <t>sachets</t>
  </si>
  <si>
    <t>DLM-002</t>
  </si>
  <si>
    <t>Dilmah Earl Grey Tea</t>
  </si>
  <si>
    <t>DLM-003</t>
  </si>
  <si>
    <t>Dilmah Pure Peppermint Leaves Tea</t>
  </si>
  <si>
    <t>DLM-004</t>
  </si>
  <si>
    <t>Dilmah Gourmet Pure Green Tea</t>
  </si>
  <si>
    <t>DLM-005</t>
  </si>
  <si>
    <t>Dilmah Traditional Oolong Tea</t>
  </si>
  <si>
    <t>DLM-006</t>
  </si>
  <si>
    <t>Dilmah Green Tea with Jasmine</t>
  </si>
  <si>
    <t>🥨  8. GRAB-AND-GO RETAIL SNACKS</t>
  </si>
  <si>
    <t>SNK-001</t>
  </si>
  <si>
    <t>Pringles Cheddar Cheese 158g</t>
  </si>
  <si>
    <t>SNK-002</t>
  </si>
  <si>
    <t>Pringles Original 158g</t>
  </si>
  <si>
    <t>SNK-003</t>
  </si>
  <si>
    <t>Pringles Sour Cream &amp; Onion 158g</t>
  </si>
  <si>
    <t>SNK-004</t>
  </si>
  <si>
    <t>Cheetos Cheddar Jalapeño 226.8g</t>
  </si>
  <si>
    <t>packs</t>
  </si>
  <si>
    <t>SNK-005</t>
  </si>
  <si>
    <t>Butter Lover Popcorn Bags</t>
  </si>
  <si>
    <t>bags</t>
  </si>
  <si>
    <t>🥤  9. RETAIL DRINKS, WATER &amp; BEERS</t>
  </si>
  <si>
    <t>BEV-001</t>
  </si>
  <si>
    <t>Coca-Cola Zero Sugar 320ml Can</t>
  </si>
  <si>
    <t>BEV-002</t>
  </si>
  <si>
    <t>Coca-Cola Regular 320ml Can</t>
  </si>
  <si>
    <t>BEV-003</t>
  </si>
  <si>
    <t>Sprite Soda 320ml Can</t>
  </si>
  <si>
    <t>BEV-004</t>
  </si>
  <si>
    <t>Sprite 1.5L Bottle (Bar Mixer)</t>
  </si>
  <si>
    <t>BEV-005</t>
  </si>
  <si>
    <t>Nature Spring Mineral Water 500ml</t>
  </si>
  <si>
    <t>BEV-006</t>
  </si>
  <si>
    <t>Nature Spring Mineral Water 1L</t>
  </si>
  <si>
    <t>BEV-007</t>
  </si>
  <si>
    <t>Red Horse Stallion Beer 330ml</t>
  </si>
  <si>
    <t>BEV-008</t>
  </si>
  <si>
    <t>San Miguel Pale Pilsen 320ml</t>
  </si>
  <si>
    <t>BEV-009</t>
  </si>
  <si>
    <t>San Mig Light - Apple 330ml</t>
  </si>
  <si>
    <t>BEV-010</t>
  </si>
  <si>
    <t>Evian Natural Spring Water 500ml</t>
  </si>
  <si>
    <t>BEV-011</t>
  </si>
  <si>
    <t>Perrier Sparkling Mineral Water 330ml</t>
  </si>
  <si>
    <t>Beverage / Coffee Name</t>
  </si>
  <si>
    <t>Category</t>
  </si>
  <si>
    <t>Unit</t>
  </si>
  <si>
    <t>Price (₱)</t>
  </si>
  <si>
    <t>Beginning Stock
(Baseline)</t>
  </si>
  <si>
    <t>★ Stock Now ★
(Current POS)</t>
  </si>
  <si>
    <t>Sales (Variance)
(Units Sold)</t>
  </si>
  <si>
    <t>Total Sales
Revenue (₱)</t>
  </si>
  <si>
    <t>Hot Americano (Small)</t>
  </si>
  <si>
    <t>Hot Coffee</t>
  </si>
  <si>
    <t>cups</t>
  </si>
  <si>
    <t>Hot Latte (Small)</t>
  </si>
  <si>
    <t>Hot Spanish Latte (Small)</t>
  </si>
  <si>
    <t>Hot Cappuccino (Small)</t>
  </si>
  <si>
    <t>Hot Latte (Large)</t>
  </si>
  <si>
    <t>Hot Choco (Large)</t>
  </si>
  <si>
    <t>Hot Macadamia Latte (Large)</t>
  </si>
  <si>
    <t>Hot Mocha (Small)</t>
  </si>
  <si>
    <t>Hot Caramel Macchiato (Small)</t>
  </si>
  <si>
    <t>Hot Choco (Small)</t>
  </si>
  <si>
    <t>Hot Mocha (Large)</t>
  </si>
  <si>
    <t>Hot Cappuccino (Large)</t>
  </si>
  <si>
    <t>Hot French Vanilla (Small)</t>
  </si>
  <si>
    <t>Hot Macadamia Latte (Small)</t>
  </si>
  <si>
    <t>Hot White Chocolate Latte (Small)</t>
  </si>
  <si>
    <t>Hot White Chocolate Latte (Large)</t>
  </si>
  <si>
    <t>Hot Seasalt Latte (Small)</t>
  </si>
  <si>
    <t>Hot Hazelnut Latte (Small)</t>
  </si>
  <si>
    <t>Hot Spanish Latte (Large)</t>
  </si>
  <si>
    <t>Hot Biscoff Latte (Small)</t>
  </si>
  <si>
    <t>Hot Biscoff Latte (Large)</t>
  </si>
  <si>
    <t>Hot Salted Caramel (Small)</t>
  </si>
  <si>
    <t>Hot Salted Caramel (Large)</t>
  </si>
  <si>
    <t>Hot Affogato (Small)</t>
  </si>
  <si>
    <t>Hot Affogato (Large)</t>
  </si>
  <si>
    <t>Hot Seasalt Latte (Large)</t>
  </si>
  <si>
    <t>Hot Hazelnut Latte (Large)</t>
  </si>
  <si>
    <t>Hot Dirty Oreo</t>
  </si>
  <si>
    <t>Hot Butterscotch (Small)</t>
  </si>
  <si>
    <t>Hot Butterscotch (Large)</t>
  </si>
  <si>
    <t>Hot Irish Cream (Small)</t>
  </si>
  <si>
    <t>Hot Irish Cream (Large)</t>
  </si>
  <si>
    <t>Hot Americano (Large)</t>
  </si>
  <si>
    <t>Hot French Vanilla (Large)</t>
  </si>
  <si>
    <t>Hot Caramel Macchiato (Large)</t>
  </si>
  <si>
    <t>Iced Sea Salt Biscoff</t>
  </si>
  <si>
    <t>Iced &amp; Blended</t>
  </si>
  <si>
    <t xml:space="preserve">Iced Americano </t>
  </si>
  <si>
    <t>Iced Macadamia Latte (Large)</t>
  </si>
  <si>
    <t>Iced Spanish Latte</t>
  </si>
  <si>
    <t xml:space="preserve">Iced Caramel Macchiato </t>
  </si>
  <si>
    <t>Iced Irish Cream</t>
  </si>
  <si>
    <t>Iced Latte (Large)</t>
  </si>
  <si>
    <t>Iced Oreo Milk</t>
  </si>
  <si>
    <t>Iced Mocha</t>
  </si>
  <si>
    <t>Iced Biscoff Mango</t>
  </si>
  <si>
    <t>Dirty Oreo</t>
  </si>
  <si>
    <t>Iced White Chocolate Latte</t>
  </si>
  <si>
    <t>Iced White Chocolate Latte (Small)</t>
  </si>
  <si>
    <t>Iced Americano (Small)</t>
  </si>
  <si>
    <t>Iced French Vanilla (Small)</t>
  </si>
  <si>
    <t>Iced Cappuccino (Small)</t>
  </si>
  <si>
    <t>Iced Mocha (Small)</t>
  </si>
  <si>
    <t>Iced Latte (Small)</t>
  </si>
  <si>
    <t>Iced Butterscotch (Small)</t>
  </si>
  <si>
    <t>Iced Butterscotch</t>
  </si>
  <si>
    <t>Iced Macadamia Latte (Small)</t>
  </si>
  <si>
    <t xml:space="preserve">Iced French Vanilla </t>
  </si>
  <si>
    <t>Iced Caramel Macchiato (Small)</t>
  </si>
  <si>
    <t>Iced Spanish Latte (Small)</t>
  </si>
  <si>
    <t>Iced Cappuccino</t>
  </si>
  <si>
    <t>Mango (16 oz)</t>
  </si>
  <si>
    <t>Soda Based</t>
  </si>
  <si>
    <t>Pink Guava (16 oz)</t>
  </si>
  <si>
    <t>Pink Guava &amp; Pomegranate (16 oz)</t>
  </si>
  <si>
    <t>Pomegranate (16 oz)</t>
  </si>
  <si>
    <t>Lychee (16 oz)</t>
  </si>
  <si>
    <t>Pomegranate Tea (16 oz)</t>
  </si>
  <si>
    <t>Fruit Teas</t>
  </si>
  <si>
    <t>Mango Tea (16 oz)</t>
  </si>
  <si>
    <t>Lychee Tea (16 oz)</t>
  </si>
  <si>
    <t>Pink Guava &amp; Pomegranate Tea (16 oz)</t>
  </si>
  <si>
    <t>Chamomile Flowers</t>
  </si>
  <si>
    <t>Pink Guava Tea (16 oz)</t>
  </si>
  <si>
    <t>Matcha Seasalt (Large)</t>
  </si>
  <si>
    <t>Matcha Series</t>
  </si>
  <si>
    <t>Matcha Latte (Large)</t>
  </si>
  <si>
    <t>White Chocolate Matcha (Large)</t>
  </si>
  <si>
    <t>Biscoff Matcha (Large)</t>
  </si>
  <si>
    <t>Mango Matcha</t>
  </si>
  <si>
    <t>Ube Matcha</t>
  </si>
  <si>
    <t>Iced Matcha Seasalt (Small)</t>
  </si>
  <si>
    <t>Iced Matcha Latte (Small)</t>
  </si>
  <si>
    <t>White Chocolate Matcha (Small)</t>
  </si>
  <si>
    <t>Biscoff Matcha (Small)</t>
  </si>
  <si>
    <t>Dirty Matcha (Small)</t>
  </si>
  <si>
    <t>Dirty Matcha (Large)</t>
  </si>
  <si>
    <t>Frappe Oreo</t>
  </si>
  <si>
    <t>Frappe</t>
  </si>
  <si>
    <t xml:space="preserve">Frappe Strawberry </t>
  </si>
  <si>
    <t>Frappe Chocolate</t>
  </si>
  <si>
    <t>Frappe Ube Taro</t>
  </si>
  <si>
    <t>Frappe Macha</t>
  </si>
  <si>
    <t>Frappe Coffee</t>
  </si>
  <si>
    <t>Frappe Vanilla</t>
  </si>
  <si>
    <t xml:space="preserve">Dilmah Earl Grey </t>
  </si>
  <si>
    <t>TEA</t>
  </si>
  <si>
    <t>bag</t>
  </si>
  <si>
    <t>Hot Black Tea (Small)</t>
  </si>
  <si>
    <t>Hot Black Tea (Large)</t>
  </si>
  <si>
    <t xml:space="preserve">Dilmah pure peppermint leaves </t>
  </si>
  <si>
    <t>Hot Jasmine Tea (Small)</t>
  </si>
  <si>
    <t>Dilmah Pure Chamomile flowers</t>
  </si>
  <si>
    <t xml:space="preserve">Dilmah Traditional oolong tea </t>
  </si>
  <si>
    <t xml:space="preserve">Dilmah Green Tea with Jasmine </t>
  </si>
  <si>
    <t>Dilmah Gourment Green Tea</t>
  </si>
  <si>
    <t>Hot Jasmine Tea (Large)</t>
  </si>
  <si>
    <t>ESPRESSO YOURSELF &amp; TEA HOUSE - PULL-OUT, DAMAGED &amp; EXPIRED AUDIT LOG</t>
  </si>
  <si>
    <t>Official Recorded Wastage, Spoilage, Expired Pull-Outs &amp; Product Adjustments | Branch #30 (Cebu City)</t>
  </si>
  <si>
    <t>1. RECORDED PULL-OUTS, EXPIRED, DAMAGED &amp; SPOILAGE LOG</t>
  </si>
  <si>
    <t>Date</t>
  </si>
  <si>
    <t>Tx ID</t>
  </si>
  <si>
    <t>Item Description</t>
  </si>
  <si>
    <t>Qty Pulled</t>
  </si>
  <si>
    <t>Unit Price</t>
  </si>
  <si>
    <t>Total Loss Value</t>
  </si>
  <si>
    <t>Classification</t>
  </si>
  <si>
    <t>2026-08-11</t>
  </si>
  <si>
    <t>Tx #300</t>
  </si>
  <si>
    <t>Lemon Lava</t>
  </si>
  <si>
    <t>Pastries</t>
  </si>
  <si>
    <t>Spoilage Pull-Out</t>
  </si>
  <si>
    <t>Tx #301</t>
  </si>
  <si>
    <t>Choco Bomb</t>
  </si>
  <si>
    <t>Tx #302</t>
  </si>
  <si>
    <t>Ensaymada</t>
  </si>
  <si>
    <t>Tx #303</t>
  </si>
  <si>
    <t>Cheese Muff</t>
  </si>
  <si>
    <t>Tx #304</t>
  </si>
  <si>
    <t>Bagel</t>
  </si>
  <si>
    <t>Tx #305</t>
  </si>
  <si>
    <t>Oat Meal Cookies</t>
  </si>
  <si>
    <t>Pastries &amp; Cookies</t>
  </si>
  <si>
    <t>Expired</t>
  </si>
  <si>
    <t>Tx #306</t>
  </si>
  <si>
    <t>Choco Walcut Cookies</t>
  </si>
  <si>
    <t>Tx #307</t>
  </si>
  <si>
    <t>Velvet Cake</t>
  </si>
  <si>
    <t>Cakes</t>
  </si>
  <si>
    <t>Tx #308</t>
  </si>
  <si>
    <t>Tx #309</t>
  </si>
  <si>
    <t>2026-08-17</t>
  </si>
  <si>
    <t>Tx #381</t>
  </si>
  <si>
    <t>Otmeak Cookies</t>
  </si>
  <si>
    <t>Tx #382</t>
  </si>
  <si>
    <t>Crema de Fruta</t>
  </si>
  <si>
    <t>Cakes &amp; Desserts</t>
  </si>
  <si>
    <t>Out of Stock Write-off</t>
  </si>
  <si>
    <t>Tx #383</t>
  </si>
  <si>
    <t>Chico Walnuts Cookies</t>
  </si>
  <si>
    <t>Tx #385</t>
  </si>
  <si>
    <t>Glazed Blueberry</t>
  </si>
  <si>
    <t>2026-09-14</t>
  </si>
  <si>
    <t>Tx #2273</t>
  </si>
  <si>
    <t>Crinkles</t>
  </si>
  <si>
    <t>Tx #2274</t>
  </si>
  <si>
    <t>Assorted Flavor Muffin</t>
  </si>
  <si>
    <t>2026-09-18</t>
  </si>
  <si>
    <t>Tx #2437</t>
  </si>
  <si>
    <t>Ensaymada 6pcs</t>
  </si>
  <si>
    <t>Tx #2438</t>
  </si>
  <si>
    <t>Cake</t>
  </si>
  <si>
    <t>Damaged</t>
  </si>
  <si>
    <t>TOTAL RECORDED WASTAGE &amp; PULL-OUTS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</si>
</sst>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</numFmts>
  <fonts count="40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i/>
      <sz val="10"/>
      <color rgb="FFD0E1FD"/>
      <name val="Segoe UI"/>
      <charset val="134"/>
    </font>
    <font>
      <b/>
      <sz val="12"/>
      <color rgb="FF1E293B"/>
      <name val="Segoe UI"/>
      <charset val="134"/>
    </font>
    <font>
      <b/>
      <sz val="9"/>
      <color rgb="FFFFFFFF"/>
      <name val="Segoe UI"/>
      <charset val="134"/>
    </font>
    <font>
      <sz val="9"/>
      <color rgb="FF1E293B"/>
      <name val="Segoe UI"/>
      <charset val="134"/>
    </font>
    <font>
      <b/>
      <sz val="9"/>
      <color rgb="FF1E293B"/>
      <name val="Segoe UI"/>
      <charset val="134"/>
    </font>
    <font>
      <b/>
      <sz val="8"/>
      <color rgb="FF9A3412"/>
      <name val="Segoe UI"/>
      <charset val="134"/>
    </font>
    <font>
      <b/>
      <sz val="8"/>
      <color rgb="FF92400E"/>
      <name val="Segoe UI"/>
      <charset val="134"/>
    </font>
    <font>
      <b/>
      <sz val="8"/>
      <color rgb="FF991B1B"/>
      <name val="Segoe UI"/>
      <charset val="134"/>
    </font>
    <font>
      <b/>
      <sz val="10"/>
      <color rgb="FFFFFFFF"/>
      <name val="Segoe UI"/>
      <charset val="134"/>
    </font>
    <font>
      <b/>
      <sz val="10"/>
      <color rgb="FF1F1F1F"/>
      <name val="Segoe UI"/>
      <charset val="134"/>
    </font>
    <font>
      <sz val="10"/>
      <color rgb="FF1F1F1F"/>
      <name val="Segoe UI"/>
      <charset val="134"/>
    </font>
    <font>
      <b/>
      <sz val="10"/>
      <color rgb="FF0F5132"/>
      <name val="Segoe UI"/>
      <charset val="134"/>
    </font>
    <font>
      <b/>
      <sz val="10"/>
      <color rgb="FF084298"/>
      <name val="Segoe UI"/>
      <charset val="134"/>
    </font>
    <font>
      <sz val="10"/>
      <color rgb="FF6C757D"/>
      <name val="Segoe UI"/>
      <charset val="134"/>
    </font>
    <font>
      <b/>
      <sz val="12"/>
      <color rgb="FF084298"/>
      <name val="Segoe UI"/>
      <charset val="134"/>
    </font>
    <font>
      <b/>
      <sz val="12"/>
      <color rgb="FF0F5132"/>
      <name val="Segoe UI"/>
      <charset val="134"/>
    </font>
    <font>
      <b/>
      <sz val="11"/>
      <color rgb="FFFFFFFF"/>
      <name val="Segoe UI"/>
      <charset val="134"/>
    </font>
    <font>
      <b/>
      <sz val="9"/>
      <color rgb="FF555555"/>
      <name val="Segoe UI"/>
      <charset val="134"/>
    </font>
    <font>
      <b/>
      <sz val="10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34155"/>
        <bgColor rgb="FF334155"/>
      </patternFill>
    </fill>
    <fill>
      <patternFill patternType="solid">
        <fgColor rgb="FFFFEDD5"/>
        <bgColor rgb="FFFFEDD5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3D2314"/>
        <bgColor rgb="FF3D2314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AF8F5"/>
        <bgColor rgb="FFFAF8F5"/>
      </patternFill>
    </fill>
    <fill>
      <patternFill patternType="solid">
        <fgColor rgb="FFCFE2FF"/>
        <bgColor rgb="FFCFE2FF"/>
      </patternFill>
    </fill>
    <fill>
      <patternFill patternType="solid">
        <fgColor rgb="FFF5F5F5"/>
        <bgColor rgb="FFF5F5F5"/>
      </patternFill>
    </fill>
    <fill>
      <patternFill patternType="solid">
        <fgColor rgb="FFF2EDE4"/>
        <bgColor rgb="FFF2EDE4"/>
      </patternFill>
    </fill>
    <fill>
      <patternFill patternType="solid">
        <fgColor rgb="FFE6DFD5"/>
        <bgColor rgb="FFE6DFD5"/>
      </patternFill>
    </fill>
    <fill>
      <patternFill patternType="solid">
        <fgColor rgb="FF2C1810"/>
        <bgColor rgb="FF2C1810"/>
      </patternFill>
    </fill>
    <fill>
      <patternFill patternType="solid">
        <fgColor rgb="FF4A3525"/>
        <bgColor rgb="FF4A3525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C1810"/>
      </top>
      <bottom style="double">
        <color rgb="FF2C18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25" borderId="6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7">
      <alignment vertical="center"/>
    </xf>
    <xf numFmtId="0" fontId="27" fillId="0" borderId="7">
      <alignment vertical="center"/>
    </xf>
    <xf numFmtId="0" fontId="28" fillId="0" borderId="8">
      <alignment vertical="center"/>
    </xf>
    <xf numFmtId="0" fontId="28" fillId="0" borderId="0">
      <alignment vertical="center"/>
    </xf>
    <xf numFmtId="0" fontId="29" fillId="26" borderId="9">
      <alignment vertical="center"/>
    </xf>
    <xf numFmtId="0" fontId="30" fillId="27" borderId="10">
      <alignment vertical="center"/>
    </xf>
    <xf numFmtId="0" fontId="31" fillId="27" borderId="9">
      <alignment vertical="center"/>
    </xf>
    <xf numFmtId="0" fontId="32" fillId="28" borderId="11">
      <alignment vertical="center"/>
    </xf>
    <xf numFmtId="0" fontId="33" fillId="0" borderId="12">
      <alignment vertical="center"/>
    </xf>
    <xf numFmtId="0" fontId="34" fillId="0" borderId="13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38" fillId="35" borderId="0">
      <alignment vertical="center"/>
    </xf>
    <xf numFmtId="0" fontId="38" fillId="36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38" fillId="39" borderId="0">
      <alignment vertical="center"/>
    </xf>
    <xf numFmtId="0" fontId="38" fillId="40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8" fillId="43" borderId="0">
      <alignment vertical="center"/>
    </xf>
    <xf numFmtId="0" fontId="38" fillId="44" borderId="0">
      <alignment vertical="center"/>
    </xf>
    <xf numFmtId="0" fontId="39" fillId="45" borderId="0">
      <alignment vertical="center"/>
    </xf>
    <xf numFmtId="0" fontId="39" fillId="46" borderId="0">
      <alignment vertical="center"/>
    </xf>
    <xf numFmtId="0" fontId="38" fillId="47" borderId="0">
      <alignment vertical="center"/>
    </xf>
    <xf numFmtId="0" fontId="38" fillId="48" borderId="0">
      <alignment vertical="center"/>
    </xf>
    <xf numFmtId="0" fontId="39" fillId="49" borderId="0">
      <alignment vertical="center"/>
    </xf>
    <xf numFmtId="0" fontId="39" fillId="50" borderId="0">
      <alignment vertical="center"/>
    </xf>
    <xf numFmtId="0" fontId="38" fillId="51" borderId="0">
      <alignment vertical="center"/>
    </xf>
    <xf numFmtId="0" fontId="38" fillId="52" borderId="0">
      <alignment vertical="center"/>
    </xf>
    <xf numFmtId="0" fontId="39" fillId="53" borderId="0">
      <alignment vertical="center"/>
    </xf>
    <xf numFmtId="0" fontId="39" fillId="54" borderId="0">
      <alignment vertical="center"/>
    </xf>
    <xf numFmtId="0" fontId="38" fillId="55" borderId="0">
      <alignment vertical="center"/>
    </xf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6" fillId="8" borderId="1" xfId="0" applyFont="1" applyFill="1" applyBorder="1"/>
    <xf numFmtId="3" fontId="6" fillId="8" borderId="1" xfId="0" applyNumberFormat="1" applyFont="1" applyFill="1" applyBorder="1" applyAlignment="1">
      <alignment horizontal="right" vertical="center"/>
    </xf>
    <xf numFmtId="176" fontId="6" fillId="8" borderId="1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left" vertical="center"/>
    </xf>
    <xf numFmtId="0" fontId="12" fillId="10" borderId="3" xfId="0" applyFont="1" applyFill="1" applyBorder="1" applyAlignment="1">
      <alignment horizontal="left" vertical="center"/>
    </xf>
    <xf numFmtId="0" fontId="12" fillId="10" borderId="3" xfId="0" applyFont="1" applyFill="1" applyBorder="1" applyAlignment="1">
      <alignment horizontal="center" vertical="center"/>
    </xf>
    <xf numFmtId="176" fontId="12" fillId="10" borderId="3" xfId="0" applyNumberFormat="1" applyFont="1" applyFill="1" applyBorder="1" applyAlignment="1">
      <alignment horizontal="right" vertical="center"/>
    </xf>
    <xf numFmtId="3" fontId="12" fillId="10" borderId="3" xfId="0" applyNumberFormat="1" applyFont="1" applyFill="1" applyBorder="1" applyAlignment="1">
      <alignment horizontal="right" vertical="center"/>
    </xf>
    <xf numFmtId="3" fontId="11" fillId="10" borderId="3" xfId="0" applyNumberFormat="1" applyFont="1" applyFill="1" applyBorder="1" applyAlignment="1">
      <alignment horizontal="right" vertical="center"/>
    </xf>
    <xf numFmtId="3" fontId="13" fillId="11" borderId="3" xfId="0" applyNumberFormat="1" applyFont="1" applyFill="1" applyBorder="1" applyAlignment="1">
      <alignment horizontal="right" vertical="center"/>
    </xf>
    <xf numFmtId="176" fontId="11" fillId="10" borderId="3" xfId="0" applyNumberFormat="1" applyFont="1" applyFill="1" applyBorder="1" applyAlignment="1">
      <alignment horizontal="right" vertical="center"/>
    </xf>
    <xf numFmtId="0" fontId="11" fillId="12" borderId="3" xfId="0" applyFont="1" applyFill="1" applyBorder="1" applyAlignment="1">
      <alignment horizontal="left" vertical="center"/>
    </xf>
    <xf numFmtId="0" fontId="12" fillId="12" borderId="3" xfId="0" applyFont="1" applyFill="1" applyBorder="1" applyAlignment="1">
      <alignment horizontal="left" vertical="center"/>
    </xf>
    <xf numFmtId="0" fontId="12" fillId="12" borderId="3" xfId="0" applyFont="1" applyFill="1" applyBorder="1" applyAlignment="1">
      <alignment horizontal="center" vertical="center"/>
    </xf>
    <xf numFmtId="176" fontId="12" fillId="12" borderId="3" xfId="0" applyNumberFormat="1" applyFont="1" applyFill="1" applyBorder="1" applyAlignment="1">
      <alignment horizontal="right" vertical="center"/>
    </xf>
    <xf numFmtId="3" fontId="12" fillId="12" borderId="3" xfId="0" applyNumberFormat="1" applyFont="1" applyFill="1" applyBorder="1" applyAlignment="1">
      <alignment horizontal="right" vertical="center"/>
    </xf>
    <xf numFmtId="3" fontId="11" fillId="12" borderId="3" xfId="0" applyNumberFormat="1" applyFont="1" applyFill="1" applyBorder="1" applyAlignment="1">
      <alignment horizontal="right" vertical="center"/>
    </xf>
    <xf numFmtId="176" fontId="11" fillId="12" borderId="3" xfId="0" applyNumberFormat="1" applyFont="1" applyFill="1" applyBorder="1" applyAlignment="1">
      <alignment horizontal="right" vertical="center"/>
    </xf>
    <xf numFmtId="3" fontId="14" fillId="13" borderId="3" xfId="0" applyNumberFormat="1" applyFont="1" applyFill="1" applyBorder="1" applyAlignment="1">
      <alignment horizontal="right" vertical="center"/>
    </xf>
    <xf numFmtId="3" fontId="15" fillId="14" borderId="3" xfId="0" applyNumberFormat="1" applyFont="1" applyFill="1" applyBorder="1" applyAlignment="1">
      <alignment horizontal="right" vertical="center"/>
    </xf>
    <xf numFmtId="0" fontId="0" fillId="0" borderId="4" xfId="0" applyBorder="1"/>
    <xf numFmtId="3" fontId="14" fillId="15" borderId="4" xfId="0" applyNumberFormat="1" applyFont="1" applyFill="1" applyBorder="1" applyAlignment="1">
      <alignment horizontal="right" vertical="center"/>
    </xf>
    <xf numFmtId="176" fontId="13" fillId="15" borderId="4" xfId="0" applyNumberFormat="1" applyFont="1" applyFill="1" applyBorder="1" applyAlignment="1">
      <alignment horizontal="right" vertical="center"/>
    </xf>
    <xf numFmtId="0" fontId="0" fillId="0" borderId="5" xfId="0" applyBorder="1"/>
    <xf numFmtId="3" fontId="16" fillId="16" borderId="5" xfId="0" applyNumberFormat="1" applyFont="1" applyFill="1" applyBorder="1" applyAlignment="1">
      <alignment horizontal="right" vertical="center"/>
    </xf>
    <xf numFmtId="176" fontId="17" fillId="16" borderId="5" xfId="0" applyNumberFormat="1" applyFont="1" applyFill="1" applyBorder="1" applyAlignment="1">
      <alignment horizontal="right" vertical="center"/>
    </xf>
    <xf numFmtId="0" fontId="1" fillId="17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left" vertical="center"/>
    </xf>
    <xf numFmtId="0" fontId="19" fillId="10" borderId="3" xfId="0" applyFont="1" applyFill="1" applyBorder="1" applyAlignment="1">
      <alignment horizontal="center" vertical="center"/>
    </xf>
    <xf numFmtId="3" fontId="20" fillId="10" borderId="3" xfId="0" applyNumberFormat="1" applyFont="1" applyFill="1" applyBorder="1" applyAlignment="1">
      <alignment horizontal="right" vertical="center"/>
    </xf>
    <xf numFmtId="0" fontId="19" fillId="12" borderId="3" xfId="0" applyFont="1" applyFill="1" applyBorder="1" applyAlignment="1">
      <alignment horizontal="center" vertical="center"/>
    </xf>
    <xf numFmtId="3" fontId="20" fillId="12" borderId="3" xfId="0" applyNumberFormat="1" applyFont="1" applyFill="1" applyBorder="1" applyAlignment="1">
      <alignment horizontal="right" vertical="center"/>
    </xf>
    <xf numFmtId="0" fontId="18" fillId="17" borderId="0" xfId="0" applyFont="1" applyFill="1" applyAlignment="1">
      <alignment horizontal="left" vertical="center"/>
    </xf>
    <xf numFmtId="4" fontId="11" fillId="12" borderId="3" xfId="0" applyNumberFormat="1" applyFont="1" applyFill="1" applyBorder="1" applyAlignment="1">
      <alignment horizontal="right" vertical="center"/>
    </xf>
    <xf numFmtId="4" fontId="11" fillId="10" borderId="3" xfId="0" applyNumberFormat="1" applyFont="1" applyFill="1" applyBorder="1" applyAlignment="1">
      <alignment horizontal="right" vertical="center"/>
    </xf>
    <xf numFmtId="0" fontId="18" fillId="19" borderId="0" xfId="0" applyFont="1" applyFill="1" applyAlignment="1">
      <alignment horizontal="left" vertical="center"/>
    </xf>
    <xf numFmtId="0" fontId="18" fillId="20" borderId="0" xfId="0" applyFont="1" applyFill="1" applyAlignment="1">
      <alignment horizontal="left" vertical="center"/>
    </xf>
    <xf numFmtId="2" fontId="20" fillId="12" borderId="3" xfId="0" applyNumberFormat="1" applyFont="1" applyFill="1" applyBorder="1" applyAlignment="1">
      <alignment horizontal="right" vertical="center"/>
    </xf>
    <xf numFmtId="2" fontId="20" fillId="10" borderId="3" xfId="0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left" vertical="center"/>
    </xf>
    <xf numFmtId="0" fontId="18" fillId="22" borderId="0" xfId="0" applyFont="1" applyFill="1" applyAlignment="1">
      <alignment horizontal="left" vertical="center"/>
    </xf>
    <xf numFmtId="0" fontId="18" fillId="23" borderId="0" xfId="0" applyFont="1" applyFill="1" applyAlignment="1">
      <alignment horizontal="left" vertical="center"/>
    </xf>
    <xf numFmtId="0" fontId="18" fillId="24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zoomScale="50" zoomScaleNormal="50" workbookViewId="0">
      <pane ySplit="3" topLeftCell="A44" activePane="bottomLeft" state="frozen"/>
      <selection/>
      <selection pane="bottomLeft" activeCell="I50" sqref="I50"/>
    </sheetView>
  </sheetViews>
  <sheetFormatPr defaultColWidth="9" defaultRowHeight="14.5"/>
  <cols>
    <col min="1" max="1" width="11" customWidth="1"/>
    <col min="2" max="2" width="34" customWidth="1"/>
    <col min="3" max="3" width="11" customWidth="1"/>
    <col min="4" max="4" width="13" customWidth="1"/>
    <col min="5" max="5" width="15" customWidth="1"/>
    <col min="6" max="6" width="16" customWidth="1"/>
    <col min="7" max="7" width="15" customWidth="1"/>
    <col min="8" max="9" width="17" customWidth="1"/>
  </cols>
  <sheetData>
    <row r="1" ht="36" customHeight="1" spans="1:9">
      <c r="A1" s="47" t="s">
        <v>0</v>
      </c>
    </row>
    <row r="2" ht="15.25"/>
    <row r="3" ht="32" customHeight="1" spans="1:9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</row>
    <row r="4" ht="24" customHeight="1" spans="1:9">
      <c r="A4" s="48" t="s">
        <v>10</v>
      </c>
    </row>
    <row r="5" ht="22" customHeight="1" spans="1:9">
      <c r="A5" s="49" t="s">
        <v>11</v>
      </c>
      <c r="B5" s="24" t="s">
        <v>12</v>
      </c>
      <c r="C5" s="26" t="s">
        <v>13</v>
      </c>
      <c r="D5" s="27">
        <v>2.8</v>
      </c>
      <c r="E5" s="28">
        <v>300</v>
      </c>
      <c r="F5" s="28">
        <v>500</v>
      </c>
      <c r="G5" s="29">
        <f>E5+F5</f>
        <v>800</v>
      </c>
      <c r="H5" s="50">
        <f>G5-I5</f>
        <v>91</v>
      </c>
      <c r="I5" s="50">
        <v>709</v>
      </c>
    </row>
    <row r="6" ht="22" customHeight="1" spans="1:9">
      <c r="A6" s="51" t="s">
        <v>14</v>
      </c>
      <c r="B6" s="32" t="s">
        <v>15</v>
      </c>
      <c r="C6" s="34" t="s">
        <v>13</v>
      </c>
      <c r="D6" s="35">
        <v>2.8</v>
      </c>
      <c r="E6" s="36">
        <v>300</v>
      </c>
      <c r="F6" s="36">
        <v>400</v>
      </c>
      <c r="G6" s="37">
        <f>E6+F6</f>
        <v>700</v>
      </c>
      <c r="H6" s="50">
        <f>G6-I6</f>
        <v>74</v>
      </c>
      <c r="I6" s="52">
        <v>626</v>
      </c>
    </row>
    <row r="7" ht="22" customHeight="1" spans="1:9">
      <c r="A7" s="49" t="s">
        <v>16</v>
      </c>
      <c r="B7" s="24" t="s">
        <v>17</v>
      </c>
      <c r="C7" s="26" t="s">
        <v>13</v>
      </c>
      <c r="D7" s="27">
        <v>2.4</v>
      </c>
      <c r="E7" s="28">
        <v>250</v>
      </c>
      <c r="F7" s="28">
        <v>750</v>
      </c>
      <c r="G7" s="29">
        <f>E7+F7</f>
        <v>1000</v>
      </c>
      <c r="H7" s="50">
        <f>G7-I7</f>
        <v>75</v>
      </c>
      <c r="I7" s="50">
        <v>925</v>
      </c>
    </row>
    <row r="8" ht="24" customHeight="1" spans="1:9">
      <c r="A8" s="53" t="s">
        <v>18</v>
      </c>
    </row>
    <row r="9" ht="22" customHeight="1" spans="1:9">
      <c r="A9" s="51" t="s">
        <v>19</v>
      </c>
      <c r="B9" s="32" t="s">
        <v>20</v>
      </c>
      <c r="C9" s="34" t="s">
        <v>21</v>
      </c>
      <c r="D9" s="35">
        <v>980</v>
      </c>
      <c r="E9" s="36">
        <v>10</v>
      </c>
      <c r="F9" s="36">
        <v>0</v>
      </c>
      <c r="G9" s="54">
        <f>E9+F9</f>
        <v>10</v>
      </c>
      <c r="H9" s="52">
        <f>G9-I9</f>
        <v>7</v>
      </c>
      <c r="I9" s="52">
        <v>3</v>
      </c>
    </row>
    <row r="10" ht="22" customHeight="1" spans="1:9">
      <c r="A10" s="49" t="s">
        <v>22</v>
      </c>
      <c r="B10" s="24" t="s">
        <v>23</v>
      </c>
      <c r="C10" s="26" t="s">
        <v>21</v>
      </c>
      <c r="D10" s="27">
        <v>204</v>
      </c>
      <c r="E10" s="28">
        <v>0</v>
      </c>
      <c r="F10" s="28">
        <v>1</v>
      </c>
      <c r="G10" s="55">
        <f>E10+F10</f>
        <v>1</v>
      </c>
      <c r="H10" s="52">
        <f>G10-I10</f>
        <v>0</v>
      </c>
      <c r="I10" s="50">
        <v>1</v>
      </c>
    </row>
    <row r="11" ht="24" customHeight="1" spans="1:9">
      <c r="A11" s="56" t="s">
        <v>24</v>
      </c>
    </row>
    <row r="12" ht="22" customHeight="1" spans="1:9">
      <c r="A12" s="51" t="s">
        <v>25</v>
      </c>
      <c r="B12" s="32" t="s">
        <v>26</v>
      </c>
      <c r="C12" s="34" t="s">
        <v>27</v>
      </c>
      <c r="D12" s="35">
        <v>550</v>
      </c>
      <c r="E12" s="36">
        <v>0</v>
      </c>
      <c r="F12" s="36">
        <v>1</v>
      </c>
      <c r="G12" s="54">
        <f t="shared" ref="G12:G23" si="0">E12+F12</f>
        <v>1</v>
      </c>
      <c r="H12" s="52">
        <f t="shared" ref="H12:H23" si="1">G12-I12</f>
        <v>0</v>
      </c>
      <c r="I12" s="52">
        <v>1</v>
      </c>
    </row>
    <row r="13" ht="22" customHeight="1" spans="1:9">
      <c r="A13" s="49" t="s">
        <v>28</v>
      </c>
      <c r="B13" s="24" t="s">
        <v>29</v>
      </c>
      <c r="C13" s="26" t="s">
        <v>27</v>
      </c>
      <c r="D13" s="27">
        <v>550</v>
      </c>
      <c r="E13" s="28">
        <v>0</v>
      </c>
      <c r="F13" s="28">
        <v>1</v>
      </c>
      <c r="G13" s="55">
        <f t="shared" si="0"/>
        <v>1</v>
      </c>
      <c r="H13" s="52">
        <f t="shared" si="1"/>
        <v>0</v>
      </c>
      <c r="I13" s="50">
        <v>1</v>
      </c>
    </row>
    <row r="14" ht="22" customHeight="1" spans="1:9">
      <c r="A14" s="51" t="s">
        <v>30</v>
      </c>
      <c r="B14" s="32" t="s">
        <v>31</v>
      </c>
      <c r="C14" s="34" t="s">
        <v>27</v>
      </c>
      <c r="D14" s="35">
        <v>550</v>
      </c>
      <c r="E14" s="36">
        <v>0</v>
      </c>
      <c r="F14" s="36">
        <v>1</v>
      </c>
      <c r="G14" s="54">
        <f t="shared" si="0"/>
        <v>1</v>
      </c>
      <c r="H14" s="52">
        <f t="shared" si="1"/>
        <v>0</v>
      </c>
      <c r="I14" s="52">
        <v>1</v>
      </c>
    </row>
    <row r="15" ht="22" customHeight="1" spans="1:9">
      <c r="A15" s="49" t="s">
        <v>32</v>
      </c>
      <c r="B15" s="24" t="s">
        <v>33</v>
      </c>
      <c r="C15" s="26" t="s">
        <v>27</v>
      </c>
      <c r="D15" s="27">
        <v>550</v>
      </c>
      <c r="E15" s="28">
        <v>0</v>
      </c>
      <c r="F15" s="28">
        <v>1</v>
      </c>
      <c r="G15" s="55">
        <f t="shared" si="0"/>
        <v>1</v>
      </c>
      <c r="H15" s="52">
        <f t="shared" si="1"/>
        <v>0</v>
      </c>
      <c r="I15" s="50">
        <v>1</v>
      </c>
    </row>
    <row r="16" ht="22" customHeight="1" spans="1:9">
      <c r="A16" s="51" t="s">
        <v>34</v>
      </c>
      <c r="B16" s="32" t="s">
        <v>35</v>
      </c>
      <c r="C16" s="34" t="s">
        <v>27</v>
      </c>
      <c r="D16" s="35">
        <v>550</v>
      </c>
      <c r="E16" s="36">
        <v>0</v>
      </c>
      <c r="F16" s="36">
        <v>1</v>
      </c>
      <c r="G16" s="54">
        <f t="shared" si="0"/>
        <v>1</v>
      </c>
      <c r="H16" s="52">
        <f t="shared" si="1"/>
        <v>0</v>
      </c>
      <c r="I16" s="52">
        <v>1</v>
      </c>
    </row>
    <row r="17" ht="22" customHeight="1" spans="1:9">
      <c r="A17" s="49" t="s">
        <v>36</v>
      </c>
      <c r="B17" s="24" t="s">
        <v>37</v>
      </c>
      <c r="C17" s="26" t="s">
        <v>27</v>
      </c>
      <c r="D17" s="27">
        <v>550</v>
      </c>
      <c r="E17" s="28">
        <v>0</v>
      </c>
      <c r="F17" s="28">
        <v>1</v>
      </c>
      <c r="G17" s="55">
        <f t="shared" si="0"/>
        <v>1</v>
      </c>
      <c r="H17" s="52">
        <f t="shared" si="1"/>
        <v>0</v>
      </c>
      <c r="I17" s="50">
        <v>1</v>
      </c>
    </row>
    <row r="18" ht="22" customHeight="1" spans="1:9">
      <c r="A18" s="51" t="s">
        <v>38</v>
      </c>
      <c r="B18" s="32" t="s">
        <v>39</v>
      </c>
      <c r="C18" s="34" t="s">
        <v>27</v>
      </c>
      <c r="D18" s="35">
        <v>550</v>
      </c>
      <c r="E18" s="36">
        <v>0</v>
      </c>
      <c r="F18" s="36">
        <v>1</v>
      </c>
      <c r="G18" s="54">
        <f t="shared" si="0"/>
        <v>1</v>
      </c>
      <c r="H18" s="52">
        <f t="shared" si="1"/>
        <v>0</v>
      </c>
      <c r="I18" s="52">
        <v>1</v>
      </c>
    </row>
    <row r="19" ht="22" customHeight="1" spans="1:9">
      <c r="A19" s="49" t="s">
        <v>40</v>
      </c>
      <c r="B19" s="24" t="s">
        <v>41</v>
      </c>
      <c r="C19" s="26" t="s">
        <v>27</v>
      </c>
      <c r="D19" s="27">
        <v>550</v>
      </c>
      <c r="E19" s="28">
        <v>0</v>
      </c>
      <c r="F19" s="28">
        <v>1</v>
      </c>
      <c r="G19" s="55">
        <f t="shared" si="0"/>
        <v>1</v>
      </c>
      <c r="H19" s="52">
        <f t="shared" si="1"/>
        <v>0</v>
      </c>
      <c r="I19" s="50">
        <v>1</v>
      </c>
    </row>
    <row r="20" ht="22" customHeight="1" spans="1:9">
      <c r="A20" s="51" t="s">
        <v>42</v>
      </c>
      <c r="B20" s="32" t="s">
        <v>43</v>
      </c>
      <c r="C20" s="34" t="s">
        <v>27</v>
      </c>
      <c r="D20" s="35">
        <v>550</v>
      </c>
      <c r="E20" s="36">
        <v>0</v>
      </c>
      <c r="F20" s="36">
        <v>1</v>
      </c>
      <c r="G20" s="54">
        <f t="shared" si="0"/>
        <v>1</v>
      </c>
      <c r="H20" s="52">
        <f t="shared" si="1"/>
        <v>0</v>
      </c>
      <c r="I20" s="52">
        <v>1</v>
      </c>
    </row>
    <row r="21" ht="22" customHeight="1" spans="1:9">
      <c r="A21" s="49" t="s">
        <v>44</v>
      </c>
      <c r="B21" s="24" t="s">
        <v>45</v>
      </c>
      <c r="C21" s="26" t="s">
        <v>46</v>
      </c>
      <c r="D21" s="27">
        <v>950</v>
      </c>
      <c r="E21" s="28">
        <v>0</v>
      </c>
      <c r="F21" s="28">
        <v>1</v>
      </c>
      <c r="G21" s="55">
        <f t="shared" si="0"/>
        <v>1</v>
      </c>
      <c r="H21" s="52">
        <f t="shared" si="1"/>
        <v>0</v>
      </c>
      <c r="I21" s="50">
        <v>1</v>
      </c>
    </row>
    <row r="22" ht="22" customHeight="1" spans="1:9">
      <c r="A22" s="51" t="s">
        <v>47</v>
      </c>
      <c r="B22" s="32" t="s">
        <v>48</v>
      </c>
      <c r="C22" s="34" t="s">
        <v>46</v>
      </c>
      <c r="D22" s="35">
        <v>950</v>
      </c>
      <c r="E22" s="36">
        <v>0</v>
      </c>
      <c r="F22" s="36">
        <v>1</v>
      </c>
      <c r="G22" s="54">
        <f t="shared" si="0"/>
        <v>1</v>
      </c>
      <c r="H22" s="52">
        <f t="shared" si="1"/>
        <v>0</v>
      </c>
      <c r="I22" s="52">
        <v>1</v>
      </c>
    </row>
    <row r="23" ht="22" customHeight="1" spans="1:9">
      <c r="A23" s="49" t="s">
        <v>49</v>
      </c>
      <c r="B23" s="24" t="s">
        <v>50</v>
      </c>
      <c r="C23" s="26" t="s">
        <v>46</v>
      </c>
      <c r="D23" s="27">
        <v>950</v>
      </c>
      <c r="E23" s="28">
        <v>0</v>
      </c>
      <c r="F23" s="28">
        <v>1</v>
      </c>
      <c r="G23" s="55">
        <f t="shared" si="0"/>
        <v>1</v>
      </c>
      <c r="H23" s="52">
        <f t="shared" si="1"/>
        <v>0</v>
      </c>
      <c r="I23" s="50">
        <v>1</v>
      </c>
    </row>
    <row r="24" ht="24" customHeight="1" spans="1:9">
      <c r="A24" s="57" t="s">
        <v>51</v>
      </c>
    </row>
    <row r="25" ht="22" customHeight="1" spans="1:9">
      <c r="A25" s="51" t="s">
        <v>52</v>
      </c>
      <c r="B25" s="32" t="s">
        <v>53</v>
      </c>
      <c r="C25" s="34" t="s">
        <v>54</v>
      </c>
      <c r="D25" s="35">
        <v>890</v>
      </c>
      <c r="E25" s="36">
        <v>1</v>
      </c>
      <c r="F25" s="36">
        <v>0</v>
      </c>
      <c r="G25" s="54">
        <f t="shared" ref="G25:G31" si="2">E25+F25</f>
        <v>1</v>
      </c>
      <c r="H25" s="52">
        <f t="shared" ref="H25:H31" si="3">G25-I25</f>
        <v>1</v>
      </c>
      <c r="I25" s="52">
        <v>0</v>
      </c>
    </row>
    <row r="26" ht="22" customHeight="1" spans="1:9">
      <c r="A26" s="49" t="s">
        <v>55</v>
      </c>
      <c r="B26" s="24" t="s">
        <v>56</v>
      </c>
      <c r="C26" s="26" t="s">
        <v>54</v>
      </c>
      <c r="D26" s="27">
        <v>690</v>
      </c>
      <c r="E26" s="28">
        <v>1</v>
      </c>
      <c r="F26" s="28">
        <v>0</v>
      </c>
      <c r="G26" s="55">
        <f t="shared" si="2"/>
        <v>1</v>
      </c>
      <c r="H26" s="52">
        <f t="shared" si="3"/>
        <v>0</v>
      </c>
      <c r="I26" s="50">
        <v>1</v>
      </c>
    </row>
    <row r="27" ht="22" customHeight="1" spans="1:9">
      <c r="A27" s="51" t="s">
        <v>57</v>
      </c>
      <c r="B27" s="32" t="s">
        <v>58</v>
      </c>
      <c r="C27" s="34" t="s">
        <v>54</v>
      </c>
      <c r="D27" s="35">
        <v>890</v>
      </c>
      <c r="E27" s="36">
        <v>1</v>
      </c>
      <c r="F27" s="36">
        <v>0</v>
      </c>
      <c r="G27" s="54">
        <f t="shared" si="2"/>
        <v>1</v>
      </c>
      <c r="H27" s="52">
        <f t="shared" si="3"/>
        <v>0.79</v>
      </c>
      <c r="I27" s="58">
        <v>0.21</v>
      </c>
    </row>
    <row r="28" ht="22" customHeight="1" spans="1:9">
      <c r="A28" s="49" t="s">
        <v>59</v>
      </c>
      <c r="B28" s="24" t="s">
        <v>60</v>
      </c>
      <c r="C28" s="26" t="s">
        <v>54</v>
      </c>
      <c r="D28" s="27">
        <v>690</v>
      </c>
      <c r="E28" s="28">
        <v>1</v>
      </c>
      <c r="F28" s="28">
        <v>0</v>
      </c>
      <c r="G28" s="55">
        <f t="shared" si="2"/>
        <v>1</v>
      </c>
      <c r="H28" s="52">
        <f t="shared" si="3"/>
        <v>0.1</v>
      </c>
      <c r="I28" s="59">
        <v>0.9</v>
      </c>
    </row>
    <row r="29" ht="22" customHeight="1" spans="1:9">
      <c r="A29" s="51" t="s">
        <v>61</v>
      </c>
      <c r="B29" s="32" t="s">
        <v>62</v>
      </c>
      <c r="C29" s="34" t="s">
        <v>54</v>
      </c>
      <c r="D29" s="35">
        <v>690</v>
      </c>
      <c r="E29" s="36">
        <v>1</v>
      </c>
      <c r="F29" s="36">
        <v>0</v>
      </c>
      <c r="G29" s="54">
        <f t="shared" si="2"/>
        <v>1</v>
      </c>
      <c r="H29" s="52">
        <f t="shared" si="3"/>
        <v>0</v>
      </c>
      <c r="I29" s="52">
        <v>1</v>
      </c>
    </row>
    <row r="30" ht="22" customHeight="1" spans="1:9">
      <c r="A30" s="49" t="s">
        <v>63</v>
      </c>
      <c r="B30" s="24" t="s">
        <v>64</v>
      </c>
      <c r="C30" s="26" t="s">
        <v>54</v>
      </c>
      <c r="D30" s="27">
        <v>690</v>
      </c>
      <c r="E30" s="28">
        <v>1</v>
      </c>
      <c r="F30" s="28">
        <v>0</v>
      </c>
      <c r="G30" s="55">
        <f t="shared" si="2"/>
        <v>1</v>
      </c>
      <c r="H30" s="52">
        <f t="shared" si="3"/>
        <v>0.1</v>
      </c>
      <c r="I30" s="59">
        <v>0.9</v>
      </c>
    </row>
    <row r="31" ht="22" customHeight="1" spans="1:9">
      <c r="A31" s="51" t="s">
        <v>65</v>
      </c>
      <c r="B31" s="32" t="s">
        <v>66</v>
      </c>
      <c r="C31" s="34" t="s">
        <v>54</v>
      </c>
      <c r="D31" s="35">
        <v>890</v>
      </c>
      <c r="E31" s="36">
        <v>1</v>
      </c>
      <c r="F31" s="36">
        <v>0</v>
      </c>
      <c r="G31" s="54">
        <f t="shared" si="2"/>
        <v>1</v>
      </c>
      <c r="H31" s="52">
        <f t="shared" si="3"/>
        <v>0.75</v>
      </c>
      <c r="I31" s="58">
        <v>0.25</v>
      </c>
    </row>
    <row r="32" ht="24" customHeight="1" spans="1:9">
      <c r="A32" s="60" t="s">
        <v>67</v>
      </c>
    </row>
    <row r="33" ht="22" customHeight="1" spans="1:9">
      <c r="A33" s="49" t="s">
        <v>68</v>
      </c>
      <c r="B33" s="24" t="s">
        <v>69</v>
      </c>
      <c r="C33" s="26" t="s">
        <v>70</v>
      </c>
      <c r="D33" s="27">
        <v>0.86</v>
      </c>
      <c r="E33" s="28">
        <v>0</v>
      </c>
      <c r="F33" s="28">
        <v>250</v>
      </c>
      <c r="G33" s="55">
        <f t="shared" ref="G33:G38" si="4">E33+F33</f>
        <v>250</v>
      </c>
      <c r="H33" s="50">
        <f t="shared" ref="H33:H38" si="5">G33-I33</f>
        <v>37</v>
      </c>
      <c r="I33" s="50">
        <v>213</v>
      </c>
    </row>
    <row r="34" ht="22" customHeight="1" spans="1:9">
      <c r="A34" s="51" t="s">
        <v>71</v>
      </c>
      <c r="B34" s="32" t="s">
        <v>72</v>
      </c>
      <c r="C34" s="34" t="s">
        <v>70</v>
      </c>
      <c r="D34" s="35">
        <v>0.86</v>
      </c>
      <c r="E34" s="36">
        <v>0</v>
      </c>
      <c r="F34" s="36">
        <v>400</v>
      </c>
      <c r="G34" s="54">
        <f t="shared" si="4"/>
        <v>400</v>
      </c>
      <c r="H34" s="50">
        <f t="shared" si="5"/>
        <v>199</v>
      </c>
      <c r="I34" s="52">
        <v>201</v>
      </c>
    </row>
    <row r="35" ht="22" customHeight="1" spans="1:9">
      <c r="A35" s="49" t="s">
        <v>73</v>
      </c>
      <c r="B35" s="24" t="s">
        <v>74</v>
      </c>
      <c r="C35" s="26" t="s">
        <v>13</v>
      </c>
      <c r="D35" s="27">
        <v>6</v>
      </c>
      <c r="E35" s="28">
        <v>0</v>
      </c>
      <c r="F35" s="28">
        <v>32</v>
      </c>
      <c r="G35" s="55">
        <f t="shared" si="4"/>
        <v>32</v>
      </c>
      <c r="H35" s="50">
        <f t="shared" si="5"/>
        <v>19</v>
      </c>
      <c r="I35" s="50">
        <v>13</v>
      </c>
    </row>
    <row r="36" ht="22" customHeight="1" spans="1:9">
      <c r="A36" s="51" t="s">
        <v>75</v>
      </c>
      <c r="B36" s="32" t="s">
        <v>76</v>
      </c>
      <c r="C36" s="34" t="s">
        <v>77</v>
      </c>
      <c r="D36" s="35">
        <v>94</v>
      </c>
      <c r="E36" s="36">
        <v>1</v>
      </c>
      <c r="F36" s="36">
        <v>10</v>
      </c>
      <c r="G36" s="54">
        <f t="shared" si="4"/>
        <v>11</v>
      </c>
      <c r="H36" s="50">
        <f t="shared" si="5"/>
        <v>8</v>
      </c>
      <c r="I36" s="52">
        <v>3</v>
      </c>
    </row>
    <row r="37" ht="22" customHeight="1" spans="1:9">
      <c r="A37" s="49" t="s">
        <v>78</v>
      </c>
      <c r="B37" s="24" t="s">
        <v>79</v>
      </c>
      <c r="C37" s="26" t="s">
        <v>70</v>
      </c>
      <c r="D37" s="27">
        <v>0.415</v>
      </c>
      <c r="E37" s="28">
        <v>0</v>
      </c>
      <c r="F37" s="28">
        <v>1000</v>
      </c>
      <c r="G37" s="55">
        <f t="shared" si="4"/>
        <v>1000</v>
      </c>
      <c r="H37" s="50">
        <f t="shared" si="5"/>
        <v>250.4</v>
      </c>
      <c r="I37" s="59">
        <v>749.6</v>
      </c>
    </row>
    <row r="38" ht="22" customHeight="1" spans="1:9">
      <c r="A38" s="51" t="s">
        <v>80</v>
      </c>
      <c r="B38" s="32" t="s">
        <v>81</v>
      </c>
      <c r="C38" s="34" t="s">
        <v>82</v>
      </c>
      <c r="D38" s="35">
        <v>44</v>
      </c>
      <c r="E38" s="36">
        <v>24</v>
      </c>
      <c r="F38" s="36">
        <v>0</v>
      </c>
      <c r="G38" s="54">
        <f t="shared" si="4"/>
        <v>24</v>
      </c>
      <c r="H38" s="50">
        <f t="shared" si="5"/>
        <v>11.47</v>
      </c>
      <c r="I38" s="58">
        <v>12.53</v>
      </c>
    </row>
    <row r="39" ht="24" customHeight="1" spans="1:9">
      <c r="A39" s="61" t="s">
        <v>83</v>
      </c>
    </row>
    <row r="40" ht="22" customHeight="1" spans="1:9">
      <c r="A40" s="49" t="s">
        <v>84</v>
      </c>
      <c r="B40" s="24" t="s">
        <v>85</v>
      </c>
      <c r="C40" s="26" t="s">
        <v>70</v>
      </c>
      <c r="D40" s="27">
        <v>0.385</v>
      </c>
      <c r="E40" s="28">
        <v>0</v>
      </c>
      <c r="F40" s="28">
        <v>454</v>
      </c>
      <c r="G40" s="55">
        <f t="shared" ref="G40:G46" si="6">E40+F40</f>
        <v>454</v>
      </c>
      <c r="H40" s="50">
        <f t="shared" ref="H40:H46" si="7">G40-I40</f>
        <v>158</v>
      </c>
      <c r="I40" s="50">
        <v>296</v>
      </c>
    </row>
    <row r="41" ht="22" customHeight="1" spans="1:9">
      <c r="A41" s="51" t="s">
        <v>86</v>
      </c>
      <c r="B41" s="32" t="s">
        <v>87</v>
      </c>
      <c r="C41" s="34" t="s">
        <v>70</v>
      </c>
      <c r="D41" s="35">
        <v>0.305</v>
      </c>
      <c r="E41" s="36">
        <v>0</v>
      </c>
      <c r="F41" s="36">
        <v>1000</v>
      </c>
      <c r="G41" s="54">
        <f t="shared" si="6"/>
        <v>1000</v>
      </c>
      <c r="H41" s="50">
        <f t="shared" si="7"/>
        <v>103</v>
      </c>
      <c r="I41" s="52">
        <v>897</v>
      </c>
    </row>
    <row r="42" ht="22" customHeight="1" spans="1:9">
      <c r="A42" s="49" t="s">
        <v>88</v>
      </c>
      <c r="B42" s="24" t="s">
        <v>89</v>
      </c>
      <c r="C42" s="26" t="s">
        <v>70</v>
      </c>
      <c r="D42" s="27">
        <v>1.2</v>
      </c>
      <c r="E42" s="28">
        <v>0</v>
      </c>
      <c r="F42" s="28">
        <v>300</v>
      </c>
      <c r="G42" s="55">
        <f t="shared" si="6"/>
        <v>300</v>
      </c>
      <c r="H42" s="50">
        <f t="shared" si="7"/>
        <v>199</v>
      </c>
      <c r="I42" s="50">
        <v>101</v>
      </c>
    </row>
    <row r="43" ht="22" customHeight="1" spans="1:9">
      <c r="A43" s="51" t="s">
        <v>90</v>
      </c>
      <c r="B43" s="32" t="s">
        <v>91</v>
      </c>
      <c r="C43" s="34" t="s">
        <v>70</v>
      </c>
      <c r="D43" s="35">
        <v>0.733</v>
      </c>
      <c r="E43" s="36">
        <v>0</v>
      </c>
      <c r="F43" s="36">
        <v>600</v>
      </c>
      <c r="G43" s="54">
        <f t="shared" si="6"/>
        <v>600</v>
      </c>
      <c r="H43" s="50">
        <f t="shared" si="7"/>
        <v>-98</v>
      </c>
      <c r="I43" s="52">
        <v>698</v>
      </c>
    </row>
    <row r="44" ht="22" customHeight="1" spans="1:9">
      <c r="A44" s="49" t="s">
        <v>92</v>
      </c>
      <c r="B44" s="24" t="s">
        <v>93</v>
      </c>
      <c r="C44" s="26" t="s">
        <v>70</v>
      </c>
      <c r="D44" s="27">
        <v>1.28</v>
      </c>
      <c r="E44" s="28">
        <v>0</v>
      </c>
      <c r="F44" s="28">
        <v>600</v>
      </c>
      <c r="G44" s="55">
        <f t="shared" si="6"/>
        <v>600</v>
      </c>
      <c r="H44" s="50">
        <f t="shared" si="7"/>
        <v>3</v>
      </c>
      <c r="I44" s="50">
        <v>597</v>
      </c>
    </row>
    <row r="45" ht="22" customHeight="1" spans="1:9">
      <c r="A45" s="51" t="s">
        <v>94</v>
      </c>
      <c r="B45" s="32" t="s">
        <v>95</v>
      </c>
      <c r="C45" s="34" t="s">
        <v>70</v>
      </c>
      <c r="D45" s="35">
        <v>0.396</v>
      </c>
      <c r="E45" s="36">
        <v>1000</v>
      </c>
      <c r="F45" s="36">
        <v>1000</v>
      </c>
      <c r="G45" s="54">
        <f t="shared" si="6"/>
        <v>2000</v>
      </c>
      <c r="H45" s="50">
        <f t="shared" si="7"/>
        <v>388</v>
      </c>
      <c r="I45" s="52">
        <v>1612</v>
      </c>
    </row>
    <row r="46" ht="22" customHeight="1" spans="1:9">
      <c r="A46" s="49" t="s">
        <v>96</v>
      </c>
      <c r="B46" s="24" t="s">
        <v>97</v>
      </c>
      <c r="C46" s="26" t="s">
        <v>70</v>
      </c>
      <c r="D46" s="27">
        <v>0.4</v>
      </c>
      <c r="E46" s="28">
        <v>0</v>
      </c>
      <c r="F46" s="28">
        <v>1000</v>
      </c>
      <c r="G46" s="55">
        <f t="shared" si="6"/>
        <v>1000</v>
      </c>
      <c r="H46" s="50">
        <f t="shared" si="7"/>
        <v>552</v>
      </c>
      <c r="I46" s="50">
        <v>448</v>
      </c>
    </row>
    <row r="47" ht="24" customHeight="1" spans="1:9">
      <c r="A47" s="62" t="s">
        <v>98</v>
      </c>
    </row>
    <row r="48" ht="22" customHeight="1" spans="1:9">
      <c r="A48" s="51" t="s">
        <v>99</v>
      </c>
      <c r="B48" s="32" t="s">
        <v>100</v>
      </c>
      <c r="C48" s="34" t="s">
        <v>101</v>
      </c>
      <c r="D48" s="35">
        <v>45</v>
      </c>
      <c r="E48" s="36">
        <v>0</v>
      </c>
      <c r="F48" s="36">
        <v>100</v>
      </c>
      <c r="G48" s="37">
        <f t="shared" ref="G48:G53" si="8">E48+F48</f>
        <v>100</v>
      </c>
      <c r="H48" s="52">
        <f t="shared" ref="H48:H53" si="9">G48-I48</f>
        <v>0</v>
      </c>
      <c r="I48" s="52">
        <v>100</v>
      </c>
    </row>
    <row r="49" ht="22" customHeight="1" spans="1:9">
      <c r="A49" s="49" t="s">
        <v>102</v>
      </c>
      <c r="B49" s="24" t="s">
        <v>103</v>
      </c>
      <c r="C49" s="26" t="s">
        <v>101</v>
      </c>
      <c r="D49" s="27">
        <v>45</v>
      </c>
      <c r="E49" s="28">
        <v>0</v>
      </c>
      <c r="F49" s="28">
        <v>100</v>
      </c>
      <c r="G49" s="29">
        <f t="shared" si="8"/>
        <v>100</v>
      </c>
      <c r="H49" s="52">
        <f t="shared" si="9"/>
        <v>7</v>
      </c>
      <c r="I49" s="50">
        <v>93</v>
      </c>
    </row>
    <row r="50" ht="22" customHeight="1" spans="1:9">
      <c r="A50" s="51" t="s">
        <v>104</v>
      </c>
      <c r="B50" s="32" t="s">
        <v>105</v>
      </c>
      <c r="C50" s="34" t="s">
        <v>101</v>
      </c>
      <c r="D50" s="35">
        <v>45</v>
      </c>
      <c r="E50" s="36">
        <v>0</v>
      </c>
      <c r="F50" s="36">
        <v>100</v>
      </c>
      <c r="G50" s="37">
        <f t="shared" si="8"/>
        <v>100</v>
      </c>
      <c r="H50" s="52">
        <f t="shared" si="9"/>
        <v>2</v>
      </c>
      <c r="I50" s="52">
        <v>98</v>
      </c>
    </row>
    <row r="51" ht="22" customHeight="1" spans="1:9">
      <c r="A51" s="49" t="s">
        <v>106</v>
      </c>
      <c r="B51" s="24" t="s">
        <v>107</v>
      </c>
      <c r="C51" s="26" t="s">
        <v>101</v>
      </c>
      <c r="D51" s="27">
        <v>45</v>
      </c>
      <c r="E51" s="28">
        <v>0</v>
      </c>
      <c r="F51" s="28">
        <v>100</v>
      </c>
      <c r="G51" s="29">
        <f t="shared" si="8"/>
        <v>100</v>
      </c>
      <c r="H51" s="52">
        <f t="shared" si="9"/>
        <v>0</v>
      </c>
      <c r="I51" s="50">
        <v>100</v>
      </c>
    </row>
    <row r="52" ht="22" customHeight="1" spans="1:9">
      <c r="A52" s="51" t="s">
        <v>108</v>
      </c>
      <c r="B52" s="32" t="s">
        <v>109</v>
      </c>
      <c r="C52" s="34" t="s">
        <v>101</v>
      </c>
      <c r="D52" s="35">
        <v>45</v>
      </c>
      <c r="E52" s="36">
        <v>0</v>
      </c>
      <c r="F52" s="36">
        <v>100</v>
      </c>
      <c r="G52" s="37">
        <f t="shared" si="8"/>
        <v>100</v>
      </c>
      <c r="H52" s="52">
        <f t="shared" si="9"/>
        <v>0</v>
      </c>
      <c r="I52" s="52">
        <v>100</v>
      </c>
    </row>
    <row r="53" ht="22" customHeight="1" spans="1:9">
      <c r="A53" s="49" t="s">
        <v>110</v>
      </c>
      <c r="B53" s="24" t="s">
        <v>111</v>
      </c>
      <c r="C53" s="26" t="s">
        <v>101</v>
      </c>
      <c r="D53" s="27">
        <v>45</v>
      </c>
      <c r="E53" s="28">
        <v>0</v>
      </c>
      <c r="F53" s="28">
        <v>100</v>
      </c>
      <c r="G53" s="29">
        <f t="shared" si="8"/>
        <v>100</v>
      </c>
      <c r="H53" s="52">
        <f t="shared" si="9"/>
        <v>0</v>
      </c>
      <c r="I53" s="50">
        <v>100</v>
      </c>
    </row>
    <row r="54" ht="24" customHeight="1" spans="1:9">
      <c r="A54" s="63" t="s">
        <v>112</v>
      </c>
    </row>
    <row r="55" ht="22" customHeight="1" spans="1:9">
      <c r="A55" s="51" t="s">
        <v>113</v>
      </c>
      <c r="B55" s="32" t="s">
        <v>114</v>
      </c>
      <c r="C55" s="34" t="s">
        <v>82</v>
      </c>
      <c r="D55" s="35">
        <v>98</v>
      </c>
      <c r="E55" s="36">
        <v>0</v>
      </c>
      <c r="F55" s="36">
        <v>3</v>
      </c>
      <c r="G55" s="37">
        <f>E55+F55</f>
        <v>3</v>
      </c>
      <c r="H55" s="52">
        <f>G55-I55</f>
        <v>0</v>
      </c>
      <c r="I55" s="52">
        <v>3</v>
      </c>
    </row>
    <row r="56" ht="22" customHeight="1" spans="1:9">
      <c r="A56" s="49" t="s">
        <v>115</v>
      </c>
      <c r="B56" s="24" t="s">
        <v>116</v>
      </c>
      <c r="C56" s="26" t="s">
        <v>82</v>
      </c>
      <c r="D56" s="27">
        <v>98</v>
      </c>
      <c r="E56" s="28">
        <v>0</v>
      </c>
      <c r="F56" s="28">
        <v>3</v>
      </c>
      <c r="G56" s="29">
        <f>E56+F56</f>
        <v>3</v>
      </c>
      <c r="H56" s="52">
        <f>G56-I56</f>
        <v>0</v>
      </c>
      <c r="I56" s="50">
        <v>3</v>
      </c>
    </row>
    <row r="57" ht="22" customHeight="1" spans="1:9">
      <c r="A57" s="51" t="s">
        <v>117</v>
      </c>
      <c r="B57" s="32" t="s">
        <v>118</v>
      </c>
      <c r="C57" s="34" t="s">
        <v>82</v>
      </c>
      <c r="D57" s="35">
        <v>98</v>
      </c>
      <c r="E57" s="36">
        <v>0</v>
      </c>
      <c r="F57" s="36">
        <v>3</v>
      </c>
      <c r="G57" s="37">
        <f>E57+F57</f>
        <v>3</v>
      </c>
      <c r="H57" s="52">
        <f>G57-I57</f>
        <v>3</v>
      </c>
      <c r="I57" s="52">
        <v>0</v>
      </c>
    </row>
    <row r="58" ht="22" customHeight="1" spans="1:9">
      <c r="A58" s="49" t="s">
        <v>119</v>
      </c>
      <c r="B58" s="24" t="s">
        <v>120</v>
      </c>
      <c r="C58" s="26" t="s">
        <v>121</v>
      </c>
      <c r="D58" s="27">
        <v>98</v>
      </c>
      <c r="E58" s="28">
        <v>0</v>
      </c>
      <c r="F58" s="28">
        <v>3</v>
      </c>
      <c r="G58" s="29">
        <f>E58+F58</f>
        <v>3</v>
      </c>
      <c r="H58" s="52">
        <f>G58-I58</f>
        <v>0</v>
      </c>
      <c r="I58" s="50">
        <v>3</v>
      </c>
    </row>
    <row r="59" ht="22" customHeight="1" spans="1:9">
      <c r="A59" s="51" t="s">
        <v>122</v>
      </c>
      <c r="B59" s="32" t="s">
        <v>123</v>
      </c>
      <c r="C59" s="34" t="s">
        <v>124</v>
      </c>
      <c r="D59" s="35">
        <v>85</v>
      </c>
      <c r="E59" s="36">
        <v>0</v>
      </c>
      <c r="F59" s="36">
        <v>32</v>
      </c>
      <c r="G59" s="37">
        <f>E59+F59</f>
        <v>32</v>
      </c>
      <c r="H59" s="52">
        <f>G59-I59</f>
        <v>0</v>
      </c>
      <c r="I59" s="52">
        <v>32</v>
      </c>
    </row>
    <row r="60" ht="24" customHeight="1" spans="1:9">
      <c r="A60" s="57" t="s">
        <v>125</v>
      </c>
    </row>
    <row r="61" ht="22" customHeight="1" spans="1:9">
      <c r="A61" s="49" t="s">
        <v>126</v>
      </c>
      <c r="B61" s="24" t="s">
        <v>127</v>
      </c>
      <c r="C61" s="26" t="s">
        <v>82</v>
      </c>
      <c r="D61" s="27">
        <v>35</v>
      </c>
      <c r="E61" s="28">
        <v>0</v>
      </c>
      <c r="F61" s="28">
        <v>24</v>
      </c>
      <c r="G61" s="29">
        <f t="shared" ref="G61:G71" si="10">E61+F61</f>
        <v>24</v>
      </c>
      <c r="H61" s="50">
        <f t="shared" ref="H61:H71" si="11">G61-I61</f>
        <v>5</v>
      </c>
      <c r="I61" s="50">
        <v>19</v>
      </c>
    </row>
    <row r="62" ht="22" customHeight="1" spans="1:9">
      <c r="A62" s="51" t="s">
        <v>128</v>
      </c>
      <c r="B62" s="32" t="s">
        <v>129</v>
      </c>
      <c r="C62" s="34" t="s">
        <v>82</v>
      </c>
      <c r="D62" s="35">
        <v>35</v>
      </c>
      <c r="E62" s="36">
        <v>0</v>
      </c>
      <c r="F62" s="36">
        <v>24</v>
      </c>
      <c r="G62" s="37">
        <f t="shared" si="10"/>
        <v>24</v>
      </c>
      <c r="H62" s="50">
        <f t="shared" si="11"/>
        <v>0</v>
      </c>
      <c r="I62" s="52">
        <v>24</v>
      </c>
    </row>
    <row r="63" ht="22" customHeight="1" spans="1:9">
      <c r="A63" s="49" t="s">
        <v>130</v>
      </c>
      <c r="B63" s="24" t="s">
        <v>131</v>
      </c>
      <c r="C63" s="26" t="s">
        <v>82</v>
      </c>
      <c r="D63" s="27">
        <v>35</v>
      </c>
      <c r="E63" s="28">
        <v>0</v>
      </c>
      <c r="F63" s="28">
        <v>24</v>
      </c>
      <c r="G63" s="29">
        <f t="shared" si="10"/>
        <v>24</v>
      </c>
      <c r="H63" s="50">
        <f t="shared" si="11"/>
        <v>3</v>
      </c>
      <c r="I63" s="50">
        <v>21</v>
      </c>
    </row>
    <row r="64" ht="22" customHeight="1" spans="1:9">
      <c r="A64" s="51" t="s">
        <v>132</v>
      </c>
      <c r="B64" s="32" t="s">
        <v>133</v>
      </c>
      <c r="C64" s="34" t="s">
        <v>77</v>
      </c>
      <c r="D64" s="35">
        <v>69.5</v>
      </c>
      <c r="E64" s="36">
        <v>4</v>
      </c>
      <c r="F64" s="36">
        <v>6</v>
      </c>
      <c r="G64" s="54">
        <f t="shared" si="10"/>
        <v>10</v>
      </c>
      <c r="H64" s="50">
        <f t="shared" si="11"/>
        <v>8.5</v>
      </c>
      <c r="I64" s="58">
        <v>1.5</v>
      </c>
    </row>
    <row r="65" ht="22" customHeight="1" spans="1:9">
      <c r="A65" s="49" t="s">
        <v>134</v>
      </c>
      <c r="B65" s="24" t="s">
        <v>135</v>
      </c>
      <c r="C65" s="26" t="s">
        <v>77</v>
      </c>
      <c r="D65" s="27">
        <v>12</v>
      </c>
      <c r="E65" s="28">
        <v>0</v>
      </c>
      <c r="F65" s="28">
        <v>35</v>
      </c>
      <c r="G65" s="29">
        <f t="shared" si="10"/>
        <v>35</v>
      </c>
      <c r="H65" s="50">
        <f t="shared" si="11"/>
        <v>35</v>
      </c>
      <c r="I65" s="50">
        <v>0</v>
      </c>
    </row>
    <row r="66" ht="22" customHeight="1" spans="1:9">
      <c r="A66" s="51" t="s">
        <v>136</v>
      </c>
      <c r="B66" s="32" t="s">
        <v>137</v>
      </c>
      <c r="C66" s="34" t="s">
        <v>77</v>
      </c>
      <c r="D66" s="35">
        <v>18</v>
      </c>
      <c r="E66" s="36">
        <v>0</v>
      </c>
      <c r="F66" s="36">
        <v>20</v>
      </c>
      <c r="G66" s="37">
        <f t="shared" si="10"/>
        <v>20</v>
      </c>
      <c r="H66" s="50">
        <f t="shared" si="11"/>
        <v>5</v>
      </c>
      <c r="I66" s="52">
        <v>15</v>
      </c>
    </row>
    <row r="67" ht="22" customHeight="1" spans="1:9">
      <c r="A67" s="49" t="s">
        <v>138</v>
      </c>
      <c r="B67" s="24" t="s">
        <v>139</v>
      </c>
      <c r="C67" s="26" t="s">
        <v>77</v>
      </c>
      <c r="D67" s="27">
        <v>55</v>
      </c>
      <c r="E67" s="28">
        <v>0</v>
      </c>
      <c r="F67" s="28">
        <v>48</v>
      </c>
      <c r="G67" s="29">
        <f t="shared" si="10"/>
        <v>48</v>
      </c>
      <c r="H67" s="50">
        <f t="shared" si="11"/>
        <v>9</v>
      </c>
      <c r="I67" s="50">
        <v>39</v>
      </c>
    </row>
    <row r="68" ht="22" customHeight="1" spans="1:9">
      <c r="A68" s="51" t="s">
        <v>140</v>
      </c>
      <c r="B68" s="32" t="s">
        <v>141</v>
      </c>
      <c r="C68" s="34" t="s">
        <v>77</v>
      </c>
      <c r="D68" s="35">
        <v>52</v>
      </c>
      <c r="E68" s="36">
        <v>0</v>
      </c>
      <c r="F68" s="36">
        <v>48</v>
      </c>
      <c r="G68" s="37">
        <f t="shared" si="10"/>
        <v>48</v>
      </c>
      <c r="H68" s="50">
        <f t="shared" si="11"/>
        <v>4</v>
      </c>
      <c r="I68" s="52">
        <v>44</v>
      </c>
    </row>
    <row r="69" ht="22" customHeight="1" spans="1:9">
      <c r="A69" s="49" t="s">
        <v>142</v>
      </c>
      <c r="B69" s="24" t="s">
        <v>143</v>
      </c>
      <c r="C69" s="26" t="s">
        <v>77</v>
      </c>
      <c r="D69" s="27">
        <v>48</v>
      </c>
      <c r="E69" s="28">
        <v>0</v>
      </c>
      <c r="F69" s="28">
        <v>24</v>
      </c>
      <c r="G69" s="29">
        <f t="shared" si="10"/>
        <v>24</v>
      </c>
      <c r="H69" s="50">
        <f t="shared" si="11"/>
        <v>2</v>
      </c>
      <c r="I69" s="50">
        <v>22</v>
      </c>
    </row>
    <row r="70" ht="22" customHeight="1" spans="1:9">
      <c r="A70" s="51" t="s">
        <v>144</v>
      </c>
      <c r="B70" s="32" t="s">
        <v>145</v>
      </c>
      <c r="C70" s="34" t="s">
        <v>77</v>
      </c>
      <c r="D70" s="35">
        <v>95</v>
      </c>
      <c r="E70" s="36">
        <v>0</v>
      </c>
      <c r="F70" s="36">
        <v>6</v>
      </c>
      <c r="G70" s="37">
        <f t="shared" si="10"/>
        <v>6</v>
      </c>
      <c r="H70" s="50">
        <f t="shared" si="11"/>
        <v>0</v>
      </c>
      <c r="I70" s="52">
        <v>6</v>
      </c>
    </row>
    <row r="71" ht="22" customHeight="1" spans="1:9">
      <c r="A71" s="49" t="s">
        <v>146</v>
      </c>
      <c r="B71" s="24" t="s">
        <v>147</v>
      </c>
      <c r="C71" s="26" t="s">
        <v>77</v>
      </c>
      <c r="D71" s="27">
        <v>110</v>
      </c>
      <c r="E71" s="28">
        <v>0</v>
      </c>
      <c r="F71" s="28">
        <v>4</v>
      </c>
      <c r="G71" s="29">
        <f t="shared" si="10"/>
        <v>4</v>
      </c>
      <c r="H71" s="50">
        <f t="shared" si="11"/>
        <v>0</v>
      </c>
      <c r="I71" s="50">
        <v>4</v>
      </c>
    </row>
  </sheetData>
  <mergeCells count="10">
    <mergeCell ref="A1:I1"/>
    <mergeCell ref="A4:I4"/>
    <mergeCell ref="A8:I8"/>
    <mergeCell ref="A11:I11"/>
    <mergeCell ref="A24:I24"/>
    <mergeCell ref="A32:I32"/>
    <mergeCell ref="A39:I39"/>
    <mergeCell ref="A47:I47"/>
    <mergeCell ref="A54:I54"/>
    <mergeCell ref="A60:I6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zoomScale="52" zoomScaleNormal="52" workbookViewId="0">
      <pane ySplit="4" topLeftCell="A5" activePane="bottomLeft" state="frozen"/>
      <selection/>
      <selection pane="bottomLeft" activeCell="E9" sqref="E9"/>
    </sheetView>
  </sheetViews>
  <sheetFormatPr defaultColWidth="9" defaultRowHeight="14.5" outlineLevelCol="7"/>
  <cols>
    <col min="1" max="1" width="36" customWidth="1"/>
    <col min="2" max="2" width="18" customWidth="1"/>
    <col min="3" max="3" width="10" customWidth="1"/>
    <col min="4" max="4" width="12" customWidth="1"/>
    <col min="5" max="7" width="16" customWidth="1"/>
    <col min="8" max="8" width="18" customWidth="1"/>
  </cols>
  <sheetData>
    <row r="1" ht="36" customHeight="1"/>
    <row r="2" ht="22" customHeight="1"/>
    <row r="4" ht="58" customHeight="1" spans="1:8">
      <c r="A4" s="23" t="s">
        <v>148</v>
      </c>
      <c r="B4" s="23" t="s">
        <v>149</v>
      </c>
      <c r="C4" s="23" t="s">
        <v>150</v>
      </c>
      <c r="D4" s="23" t="s">
        <v>151</v>
      </c>
      <c r="E4" s="23" t="s">
        <v>152</v>
      </c>
      <c r="F4" s="23" t="s">
        <v>153</v>
      </c>
      <c r="G4" s="23" t="s">
        <v>154</v>
      </c>
      <c r="H4" s="23" t="s">
        <v>155</v>
      </c>
    </row>
    <row r="5" ht="24" customHeight="1"/>
    <row r="6" ht="20" customHeight="1" spans="1:8">
      <c r="A6" s="24" t="s">
        <v>156</v>
      </c>
      <c r="B6" s="25" t="s">
        <v>157</v>
      </c>
      <c r="C6" s="26" t="s">
        <v>158</v>
      </c>
      <c r="D6" s="27">
        <v>99</v>
      </c>
      <c r="E6" s="28">
        <v>9999</v>
      </c>
      <c r="F6" s="29">
        <v>9958</v>
      </c>
      <c r="G6" s="30">
        <f t="shared" ref="G6:G42" si="0">E6-F6</f>
        <v>41</v>
      </c>
      <c r="H6" s="31">
        <f t="shared" ref="H6:H42" si="1">G6*D6</f>
        <v>4059</v>
      </c>
    </row>
    <row r="7" ht="20" customHeight="1" spans="1:8">
      <c r="A7" s="32" t="s">
        <v>159</v>
      </c>
      <c r="B7" s="33" t="s">
        <v>157</v>
      </c>
      <c r="C7" s="34" t="s">
        <v>158</v>
      </c>
      <c r="D7" s="35">
        <v>105</v>
      </c>
      <c r="E7" s="36">
        <v>9999</v>
      </c>
      <c r="F7" s="37">
        <v>9975</v>
      </c>
      <c r="G7" s="30">
        <f t="shared" si="0"/>
        <v>24</v>
      </c>
      <c r="H7" s="38">
        <f t="shared" si="1"/>
        <v>2520</v>
      </c>
    </row>
    <row r="8" ht="20" customHeight="1" spans="1:8">
      <c r="A8" s="24" t="s">
        <v>160</v>
      </c>
      <c r="B8" s="25" t="s">
        <v>157</v>
      </c>
      <c r="C8" s="26" t="s">
        <v>158</v>
      </c>
      <c r="D8" s="27">
        <v>105</v>
      </c>
      <c r="E8" s="28">
        <v>9999</v>
      </c>
      <c r="F8" s="29">
        <v>9982</v>
      </c>
      <c r="G8" s="39">
        <f t="shared" si="0"/>
        <v>17</v>
      </c>
      <c r="H8" s="31">
        <f t="shared" si="1"/>
        <v>1785</v>
      </c>
    </row>
    <row r="9" ht="20" customHeight="1" spans="1:8">
      <c r="A9" s="32" t="s">
        <v>161</v>
      </c>
      <c r="B9" s="33" t="s">
        <v>157</v>
      </c>
      <c r="C9" s="34" t="s">
        <v>158</v>
      </c>
      <c r="D9" s="35">
        <v>105</v>
      </c>
      <c r="E9" s="36">
        <v>9999</v>
      </c>
      <c r="F9" s="37">
        <v>9983</v>
      </c>
      <c r="G9" s="39">
        <f t="shared" si="0"/>
        <v>16</v>
      </c>
      <c r="H9" s="38">
        <f t="shared" si="1"/>
        <v>1680</v>
      </c>
    </row>
    <row r="10" ht="20" customHeight="1" spans="1:8">
      <c r="A10" s="24" t="s">
        <v>162</v>
      </c>
      <c r="B10" s="25" t="s">
        <v>157</v>
      </c>
      <c r="C10" s="26" t="s">
        <v>158</v>
      </c>
      <c r="D10" s="27">
        <v>149</v>
      </c>
      <c r="E10" s="28">
        <v>9999</v>
      </c>
      <c r="F10" s="29">
        <v>9983</v>
      </c>
      <c r="G10" s="39">
        <f t="shared" si="0"/>
        <v>16</v>
      </c>
      <c r="H10" s="31">
        <f t="shared" si="1"/>
        <v>2384</v>
      </c>
    </row>
    <row r="11" ht="20" customHeight="1" spans="1:8">
      <c r="A11" s="32" t="s">
        <v>163</v>
      </c>
      <c r="B11" s="33" t="s">
        <v>157</v>
      </c>
      <c r="C11" s="34" t="s">
        <v>158</v>
      </c>
      <c r="D11" s="35">
        <v>149</v>
      </c>
      <c r="E11" s="36">
        <v>9999</v>
      </c>
      <c r="F11" s="37">
        <v>9984</v>
      </c>
      <c r="G11" s="39">
        <f t="shared" si="0"/>
        <v>15</v>
      </c>
      <c r="H11" s="38">
        <f t="shared" si="1"/>
        <v>2235</v>
      </c>
    </row>
    <row r="12" ht="20" customHeight="1" spans="1:8">
      <c r="A12" s="24" t="s">
        <v>164</v>
      </c>
      <c r="B12" s="25" t="s">
        <v>157</v>
      </c>
      <c r="C12" s="26" t="s">
        <v>158</v>
      </c>
      <c r="D12" s="27">
        <v>149</v>
      </c>
      <c r="E12" s="28">
        <v>9999</v>
      </c>
      <c r="F12" s="29">
        <v>9990</v>
      </c>
      <c r="G12" s="39">
        <f t="shared" si="0"/>
        <v>9</v>
      </c>
      <c r="H12" s="31">
        <f t="shared" si="1"/>
        <v>1341</v>
      </c>
    </row>
    <row r="13" ht="20" customHeight="1" spans="1:8">
      <c r="A13" s="32" t="s">
        <v>165</v>
      </c>
      <c r="B13" s="33" t="s">
        <v>157</v>
      </c>
      <c r="C13" s="34" t="s">
        <v>158</v>
      </c>
      <c r="D13" s="35">
        <v>105</v>
      </c>
      <c r="E13" s="36">
        <v>9999</v>
      </c>
      <c r="F13" s="37">
        <v>9992</v>
      </c>
      <c r="G13" s="39">
        <f t="shared" si="0"/>
        <v>7</v>
      </c>
      <c r="H13" s="38">
        <f t="shared" si="1"/>
        <v>735</v>
      </c>
    </row>
    <row r="14" ht="20" customHeight="1" spans="1:8">
      <c r="A14" s="24" t="s">
        <v>166</v>
      </c>
      <c r="B14" s="25" t="s">
        <v>157</v>
      </c>
      <c r="C14" s="26" t="s">
        <v>158</v>
      </c>
      <c r="D14" s="27">
        <v>105</v>
      </c>
      <c r="E14" s="28">
        <v>9999</v>
      </c>
      <c r="F14" s="29">
        <v>9993</v>
      </c>
      <c r="G14" s="39">
        <f t="shared" si="0"/>
        <v>6</v>
      </c>
      <c r="H14" s="31">
        <f t="shared" si="1"/>
        <v>630</v>
      </c>
    </row>
    <row r="15" ht="20" customHeight="1" spans="1:8">
      <c r="A15" s="32" t="s">
        <v>167</v>
      </c>
      <c r="B15" s="33" t="s">
        <v>157</v>
      </c>
      <c r="C15" s="34" t="s">
        <v>158</v>
      </c>
      <c r="D15" s="35">
        <v>105</v>
      </c>
      <c r="E15" s="36">
        <v>9999</v>
      </c>
      <c r="F15" s="37">
        <v>9993</v>
      </c>
      <c r="G15" s="39">
        <f t="shared" si="0"/>
        <v>6</v>
      </c>
      <c r="H15" s="38">
        <f t="shared" si="1"/>
        <v>630</v>
      </c>
    </row>
    <row r="16" ht="20" customHeight="1" spans="1:8">
      <c r="A16" s="24" t="s">
        <v>168</v>
      </c>
      <c r="B16" s="25" t="s">
        <v>157</v>
      </c>
      <c r="C16" s="26" t="s">
        <v>158</v>
      </c>
      <c r="D16" s="27">
        <v>149</v>
      </c>
      <c r="E16" s="28">
        <v>9999</v>
      </c>
      <c r="F16" s="29">
        <v>9994</v>
      </c>
      <c r="G16" s="39">
        <f t="shared" si="0"/>
        <v>5</v>
      </c>
      <c r="H16" s="31">
        <f t="shared" si="1"/>
        <v>745</v>
      </c>
    </row>
    <row r="17" ht="20" customHeight="1" spans="1:8">
      <c r="A17" s="32" t="s">
        <v>169</v>
      </c>
      <c r="B17" s="33" t="s">
        <v>157</v>
      </c>
      <c r="C17" s="34" t="s">
        <v>158</v>
      </c>
      <c r="D17" s="35">
        <v>149</v>
      </c>
      <c r="E17" s="36">
        <v>9999</v>
      </c>
      <c r="F17" s="37">
        <v>9995</v>
      </c>
      <c r="G17" s="39">
        <f t="shared" si="0"/>
        <v>4</v>
      </c>
      <c r="H17" s="38">
        <f t="shared" si="1"/>
        <v>596</v>
      </c>
    </row>
    <row r="18" ht="20" customHeight="1" spans="1:8">
      <c r="A18" s="24" t="s">
        <v>170</v>
      </c>
      <c r="B18" s="25" t="s">
        <v>157</v>
      </c>
      <c r="C18" s="26" t="s">
        <v>158</v>
      </c>
      <c r="D18" s="27">
        <v>105</v>
      </c>
      <c r="E18" s="28">
        <v>9999</v>
      </c>
      <c r="F18" s="29">
        <v>9995</v>
      </c>
      <c r="G18" s="39">
        <f t="shared" si="0"/>
        <v>4</v>
      </c>
      <c r="H18" s="31">
        <f t="shared" si="1"/>
        <v>420</v>
      </c>
    </row>
    <row r="19" ht="20" customHeight="1" spans="1:8">
      <c r="A19" s="32" t="s">
        <v>171</v>
      </c>
      <c r="B19" s="33" t="s">
        <v>157</v>
      </c>
      <c r="C19" s="34" t="s">
        <v>158</v>
      </c>
      <c r="D19" s="35">
        <v>105</v>
      </c>
      <c r="E19" s="36">
        <v>9999</v>
      </c>
      <c r="F19" s="37">
        <v>9995</v>
      </c>
      <c r="G19" s="39">
        <f t="shared" si="0"/>
        <v>4</v>
      </c>
      <c r="H19" s="38">
        <f t="shared" si="1"/>
        <v>420</v>
      </c>
    </row>
    <row r="20" ht="20" customHeight="1" spans="1:8">
      <c r="A20" s="24" t="s">
        <v>172</v>
      </c>
      <c r="B20" s="25" t="s">
        <v>157</v>
      </c>
      <c r="C20" s="26" t="s">
        <v>158</v>
      </c>
      <c r="D20" s="27">
        <v>105</v>
      </c>
      <c r="E20" s="28">
        <v>9999</v>
      </c>
      <c r="F20" s="29">
        <v>9997</v>
      </c>
      <c r="G20" s="39">
        <f t="shared" si="0"/>
        <v>2</v>
      </c>
      <c r="H20" s="31">
        <f t="shared" si="1"/>
        <v>210</v>
      </c>
    </row>
    <row r="21" ht="20" customHeight="1" spans="1:8">
      <c r="A21" s="32" t="s">
        <v>173</v>
      </c>
      <c r="B21" s="33" t="s">
        <v>157</v>
      </c>
      <c r="C21" s="34" t="s">
        <v>158</v>
      </c>
      <c r="D21" s="35">
        <v>149</v>
      </c>
      <c r="E21" s="36">
        <v>9999</v>
      </c>
      <c r="F21" s="37">
        <v>9998</v>
      </c>
      <c r="G21" s="39">
        <f t="shared" si="0"/>
        <v>1</v>
      </c>
      <c r="H21" s="38">
        <f t="shared" si="1"/>
        <v>149</v>
      </c>
    </row>
    <row r="22" ht="20" customHeight="1" spans="1:8">
      <c r="A22" s="24" t="s">
        <v>174</v>
      </c>
      <c r="B22" s="25" t="s">
        <v>157</v>
      </c>
      <c r="C22" s="26" t="s">
        <v>158</v>
      </c>
      <c r="D22" s="27">
        <v>105</v>
      </c>
      <c r="E22" s="28">
        <v>9999</v>
      </c>
      <c r="F22" s="29">
        <v>9998</v>
      </c>
      <c r="G22" s="39">
        <f t="shared" si="0"/>
        <v>1</v>
      </c>
      <c r="H22" s="31">
        <f t="shared" si="1"/>
        <v>105</v>
      </c>
    </row>
    <row r="23" ht="20" customHeight="1" spans="1:8">
      <c r="A23" s="32" t="s">
        <v>175</v>
      </c>
      <c r="B23" s="33" t="s">
        <v>157</v>
      </c>
      <c r="C23" s="34" t="s">
        <v>158</v>
      </c>
      <c r="D23" s="35">
        <v>105</v>
      </c>
      <c r="E23" s="36">
        <v>9999</v>
      </c>
      <c r="F23" s="37">
        <v>9998</v>
      </c>
      <c r="G23" s="39">
        <f t="shared" si="0"/>
        <v>1</v>
      </c>
      <c r="H23" s="38">
        <f t="shared" si="1"/>
        <v>105</v>
      </c>
    </row>
    <row r="24" ht="20" customHeight="1" spans="1:8">
      <c r="A24" s="24" t="s">
        <v>176</v>
      </c>
      <c r="B24" s="25" t="s">
        <v>157</v>
      </c>
      <c r="C24" s="26" t="s">
        <v>158</v>
      </c>
      <c r="D24" s="27">
        <v>149</v>
      </c>
      <c r="E24" s="28">
        <v>9999</v>
      </c>
      <c r="F24" s="29">
        <v>9998</v>
      </c>
      <c r="G24" s="39">
        <f t="shared" si="0"/>
        <v>1</v>
      </c>
      <c r="H24" s="31">
        <f t="shared" si="1"/>
        <v>149</v>
      </c>
    </row>
    <row r="25" ht="20" customHeight="1" spans="1:8">
      <c r="A25" s="32" t="s">
        <v>177</v>
      </c>
      <c r="B25" s="33" t="s">
        <v>157</v>
      </c>
      <c r="C25" s="34" t="s">
        <v>158</v>
      </c>
      <c r="D25" s="35">
        <v>105</v>
      </c>
      <c r="E25" s="36">
        <v>9999</v>
      </c>
      <c r="F25" s="37">
        <v>9999</v>
      </c>
      <c r="G25" s="40">
        <f t="shared" si="0"/>
        <v>0</v>
      </c>
      <c r="H25" s="38">
        <f t="shared" si="1"/>
        <v>0</v>
      </c>
    </row>
    <row r="26" ht="20" customHeight="1" spans="1:8">
      <c r="A26" s="24" t="s">
        <v>178</v>
      </c>
      <c r="B26" s="25" t="s">
        <v>157</v>
      </c>
      <c r="C26" s="26" t="s">
        <v>158</v>
      </c>
      <c r="D26" s="27">
        <v>149</v>
      </c>
      <c r="E26" s="28">
        <v>9999</v>
      </c>
      <c r="F26" s="29">
        <v>9999</v>
      </c>
      <c r="G26" s="40">
        <f t="shared" si="0"/>
        <v>0</v>
      </c>
      <c r="H26" s="31">
        <f t="shared" si="1"/>
        <v>0</v>
      </c>
    </row>
    <row r="27" ht="20" customHeight="1" spans="1:8">
      <c r="A27" s="32" t="s">
        <v>179</v>
      </c>
      <c r="B27" s="33" t="s">
        <v>157</v>
      </c>
      <c r="C27" s="34" t="s">
        <v>158</v>
      </c>
      <c r="D27" s="35">
        <v>105</v>
      </c>
      <c r="E27" s="36">
        <v>9999</v>
      </c>
      <c r="F27" s="37">
        <v>9999</v>
      </c>
      <c r="G27" s="40">
        <f t="shared" si="0"/>
        <v>0</v>
      </c>
      <c r="H27" s="38">
        <f t="shared" si="1"/>
        <v>0</v>
      </c>
    </row>
    <row r="28" ht="20" customHeight="1" spans="1:8">
      <c r="A28" s="24" t="s">
        <v>180</v>
      </c>
      <c r="B28" s="25" t="s">
        <v>157</v>
      </c>
      <c r="C28" s="26" t="s">
        <v>158</v>
      </c>
      <c r="D28" s="27">
        <v>149</v>
      </c>
      <c r="E28" s="28">
        <v>9999</v>
      </c>
      <c r="F28" s="29">
        <v>9999</v>
      </c>
      <c r="G28" s="40">
        <f t="shared" si="0"/>
        <v>0</v>
      </c>
      <c r="H28" s="31">
        <f t="shared" si="1"/>
        <v>0</v>
      </c>
    </row>
    <row r="29" ht="20" customHeight="1" spans="1:8">
      <c r="A29" s="32" t="s">
        <v>181</v>
      </c>
      <c r="B29" s="33" t="s">
        <v>157</v>
      </c>
      <c r="C29" s="34" t="s">
        <v>158</v>
      </c>
      <c r="D29" s="35">
        <v>105</v>
      </c>
      <c r="E29" s="36">
        <v>9999</v>
      </c>
      <c r="F29" s="37">
        <v>9999</v>
      </c>
      <c r="G29" s="40">
        <f t="shared" si="0"/>
        <v>0</v>
      </c>
      <c r="H29" s="38">
        <f t="shared" si="1"/>
        <v>0</v>
      </c>
    </row>
    <row r="30" ht="20" customHeight="1" spans="1:8">
      <c r="A30" s="24" t="s">
        <v>182</v>
      </c>
      <c r="B30" s="25" t="s">
        <v>157</v>
      </c>
      <c r="C30" s="26" t="s">
        <v>158</v>
      </c>
      <c r="D30" s="27">
        <v>149</v>
      </c>
      <c r="E30" s="28">
        <v>9999</v>
      </c>
      <c r="F30" s="29">
        <v>9999</v>
      </c>
      <c r="G30" s="40">
        <f t="shared" si="0"/>
        <v>0</v>
      </c>
      <c r="H30" s="31">
        <f t="shared" si="1"/>
        <v>0</v>
      </c>
    </row>
    <row r="31" ht="20" customHeight="1" spans="1:8">
      <c r="A31" s="32" t="s">
        <v>183</v>
      </c>
      <c r="B31" s="33" t="s">
        <v>157</v>
      </c>
      <c r="C31" s="34" t="s">
        <v>13</v>
      </c>
      <c r="D31" s="35">
        <v>149</v>
      </c>
      <c r="E31" s="36">
        <v>9999</v>
      </c>
      <c r="F31" s="37">
        <v>9999</v>
      </c>
      <c r="G31" s="40">
        <f t="shared" si="0"/>
        <v>0</v>
      </c>
      <c r="H31" s="38">
        <f t="shared" si="1"/>
        <v>0</v>
      </c>
    </row>
    <row r="32" ht="20" customHeight="1" spans="1:8">
      <c r="A32" s="24" t="s">
        <v>184</v>
      </c>
      <c r="B32" s="25" t="s">
        <v>157</v>
      </c>
      <c r="C32" s="26" t="s">
        <v>158</v>
      </c>
      <c r="D32" s="27">
        <v>149</v>
      </c>
      <c r="E32" s="28">
        <v>9999</v>
      </c>
      <c r="F32" s="29">
        <v>9999</v>
      </c>
      <c r="G32" s="40">
        <f t="shared" si="0"/>
        <v>0</v>
      </c>
      <c r="H32" s="31">
        <f t="shared" si="1"/>
        <v>0</v>
      </c>
    </row>
    <row r="33" ht="20" customHeight="1" spans="1:8">
      <c r="A33" s="32" t="s">
        <v>185</v>
      </c>
      <c r="B33" s="33" t="s">
        <v>157</v>
      </c>
      <c r="C33" s="34" t="s">
        <v>158</v>
      </c>
      <c r="D33" s="35">
        <v>105</v>
      </c>
      <c r="E33" s="36">
        <v>9999</v>
      </c>
      <c r="F33" s="37">
        <v>9999</v>
      </c>
      <c r="G33" s="40">
        <f t="shared" si="0"/>
        <v>0</v>
      </c>
      <c r="H33" s="38">
        <f t="shared" si="1"/>
        <v>0</v>
      </c>
    </row>
    <row r="34" ht="20" customHeight="1" spans="1:8">
      <c r="A34" s="24" t="s">
        <v>185</v>
      </c>
      <c r="B34" s="25" t="s">
        <v>157</v>
      </c>
      <c r="C34" s="26" t="s">
        <v>158</v>
      </c>
      <c r="D34" s="27">
        <v>149</v>
      </c>
      <c r="E34" s="28">
        <v>9999</v>
      </c>
      <c r="F34" s="29">
        <v>9999</v>
      </c>
      <c r="G34" s="40">
        <f t="shared" si="0"/>
        <v>0</v>
      </c>
      <c r="H34" s="31">
        <f t="shared" si="1"/>
        <v>0</v>
      </c>
    </row>
    <row r="35" ht="20" customHeight="1" spans="1:8">
      <c r="A35" s="32" t="s">
        <v>185</v>
      </c>
      <c r="B35" s="33" t="s">
        <v>157</v>
      </c>
      <c r="C35" s="34" t="s">
        <v>158</v>
      </c>
      <c r="D35" s="35">
        <v>149</v>
      </c>
      <c r="E35" s="36">
        <v>9999</v>
      </c>
      <c r="F35" s="37">
        <v>9999</v>
      </c>
      <c r="G35" s="40">
        <f t="shared" si="0"/>
        <v>0</v>
      </c>
      <c r="H35" s="38">
        <f t="shared" si="1"/>
        <v>0</v>
      </c>
    </row>
    <row r="36" ht="20" customHeight="1" spans="1:8">
      <c r="A36" s="24" t="s">
        <v>186</v>
      </c>
      <c r="B36" s="25" t="s">
        <v>157</v>
      </c>
      <c r="C36" s="26" t="s">
        <v>158</v>
      </c>
      <c r="D36" s="27">
        <v>105</v>
      </c>
      <c r="E36" s="28">
        <v>9999</v>
      </c>
      <c r="F36" s="29">
        <v>9999</v>
      </c>
      <c r="G36" s="40">
        <f t="shared" si="0"/>
        <v>0</v>
      </c>
      <c r="H36" s="31">
        <f t="shared" si="1"/>
        <v>0</v>
      </c>
    </row>
    <row r="37" ht="20" customHeight="1" spans="1:8">
      <c r="A37" s="32" t="s">
        <v>187</v>
      </c>
      <c r="B37" s="33" t="s">
        <v>157</v>
      </c>
      <c r="C37" s="34" t="s">
        <v>158</v>
      </c>
      <c r="D37" s="35">
        <v>149</v>
      </c>
      <c r="E37" s="36">
        <v>9999</v>
      </c>
      <c r="F37" s="37">
        <v>9999</v>
      </c>
      <c r="G37" s="40">
        <f t="shared" si="0"/>
        <v>0</v>
      </c>
      <c r="H37" s="38">
        <f t="shared" si="1"/>
        <v>0</v>
      </c>
    </row>
    <row r="38" ht="20" customHeight="1" spans="1:8">
      <c r="A38" s="24" t="s">
        <v>188</v>
      </c>
      <c r="B38" s="25" t="s">
        <v>157</v>
      </c>
      <c r="C38" s="26" t="s">
        <v>158</v>
      </c>
      <c r="D38" s="27">
        <v>105</v>
      </c>
      <c r="E38" s="28">
        <v>9999</v>
      </c>
      <c r="F38" s="29">
        <v>9999</v>
      </c>
      <c r="G38" s="40">
        <f t="shared" si="0"/>
        <v>0</v>
      </c>
      <c r="H38" s="31">
        <f t="shared" si="1"/>
        <v>0</v>
      </c>
    </row>
    <row r="39" ht="20" customHeight="1" spans="1:8">
      <c r="A39" s="32" t="s">
        <v>189</v>
      </c>
      <c r="B39" s="33" t="s">
        <v>157</v>
      </c>
      <c r="C39" s="34" t="s">
        <v>158</v>
      </c>
      <c r="D39" s="35">
        <v>149</v>
      </c>
      <c r="E39" s="36">
        <v>9999</v>
      </c>
      <c r="F39" s="37">
        <v>9999</v>
      </c>
      <c r="G39" s="40">
        <f t="shared" si="0"/>
        <v>0</v>
      </c>
      <c r="H39" s="38">
        <f t="shared" si="1"/>
        <v>0</v>
      </c>
    </row>
    <row r="40" ht="20" customHeight="1" spans="1:8">
      <c r="A40" s="24" t="s">
        <v>190</v>
      </c>
      <c r="B40" s="25" t="s">
        <v>157</v>
      </c>
      <c r="C40" s="26" t="s">
        <v>158</v>
      </c>
      <c r="D40" s="27">
        <v>120</v>
      </c>
      <c r="E40" s="28">
        <v>9999</v>
      </c>
      <c r="F40" s="29">
        <v>9999</v>
      </c>
      <c r="G40" s="40">
        <f t="shared" si="0"/>
        <v>0</v>
      </c>
      <c r="H40" s="31">
        <f t="shared" si="1"/>
        <v>0</v>
      </c>
    </row>
    <row r="41" ht="20" customHeight="1" spans="1:8">
      <c r="A41" s="32" t="s">
        <v>191</v>
      </c>
      <c r="B41" s="33" t="s">
        <v>157</v>
      </c>
      <c r="C41" s="34" t="s">
        <v>158</v>
      </c>
      <c r="D41" s="35">
        <v>149</v>
      </c>
      <c r="E41" s="36">
        <v>9999</v>
      </c>
      <c r="F41" s="37">
        <v>9999</v>
      </c>
      <c r="G41" s="40">
        <f t="shared" si="0"/>
        <v>0</v>
      </c>
      <c r="H41" s="38">
        <f t="shared" si="1"/>
        <v>0</v>
      </c>
    </row>
    <row r="42" ht="20" customHeight="1" spans="1:8">
      <c r="A42" s="24" t="s">
        <v>192</v>
      </c>
      <c r="B42" s="25" t="s">
        <v>157</v>
      </c>
      <c r="C42" s="26" t="s">
        <v>158</v>
      </c>
      <c r="D42" s="27">
        <v>149</v>
      </c>
      <c r="E42" s="28">
        <v>9999</v>
      </c>
      <c r="F42" s="29">
        <v>9999</v>
      </c>
      <c r="G42" s="40">
        <f t="shared" si="0"/>
        <v>0</v>
      </c>
      <c r="H42" s="31">
        <f t="shared" si="1"/>
        <v>0</v>
      </c>
    </row>
    <row r="43" ht="22" customHeight="1" spans="1:8">
      <c r="A43" s="41"/>
      <c r="B43" s="41"/>
      <c r="C43" s="41"/>
      <c r="D43" s="41"/>
      <c r="E43" s="41"/>
      <c r="F43" s="41"/>
      <c r="G43" s="42">
        <f>SUM(G6:G42)</f>
        <v>180</v>
      </c>
      <c r="H43" s="43">
        <f>SUM(H6:H42)</f>
        <v>20898</v>
      </c>
    </row>
    <row r="44" ht="24" customHeight="1"/>
    <row r="45" ht="20" customHeight="1" spans="1:8">
      <c r="A45" s="32" t="s">
        <v>193</v>
      </c>
      <c r="B45" s="33" t="s">
        <v>194</v>
      </c>
      <c r="C45" s="34" t="s">
        <v>158</v>
      </c>
      <c r="D45" s="35">
        <v>149</v>
      </c>
      <c r="E45" s="36">
        <v>9999</v>
      </c>
      <c r="F45" s="37">
        <v>9890</v>
      </c>
      <c r="G45" s="30">
        <f t="shared" ref="G45:G69" si="2">E45-F45</f>
        <v>109</v>
      </c>
      <c r="H45" s="38">
        <f t="shared" ref="H45:H69" si="3">G45*D45</f>
        <v>16241</v>
      </c>
    </row>
    <row r="46" ht="20" customHeight="1" spans="1:8">
      <c r="A46" s="24" t="s">
        <v>195</v>
      </c>
      <c r="B46" s="25" t="s">
        <v>194</v>
      </c>
      <c r="C46" s="26" t="s">
        <v>158</v>
      </c>
      <c r="D46" s="27">
        <v>120</v>
      </c>
      <c r="E46" s="28">
        <v>9999</v>
      </c>
      <c r="F46" s="29">
        <v>9963</v>
      </c>
      <c r="G46" s="30">
        <f t="shared" si="2"/>
        <v>36</v>
      </c>
      <c r="H46" s="31">
        <f t="shared" si="3"/>
        <v>4320</v>
      </c>
    </row>
    <row r="47" ht="20" customHeight="1" spans="1:8">
      <c r="A47" s="32" t="s">
        <v>196</v>
      </c>
      <c r="B47" s="33" t="s">
        <v>194</v>
      </c>
      <c r="C47" s="34" t="s">
        <v>158</v>
      </c>
      <c r="D47" s="35">
        <v>149</v>
      </c>
      <c r="E47" s="36">
        <v>9999</v>
      </c>
      <c r="F47" s="37">
        <v>9973</v>
      </c>
      <c r="G47" s="30">
        <f t="shared" si="2"/>
        <v>26</v>
      </c>
      <c r="H47" s="38">
        <f t="shared" si="3"/>
        <v>3874</v>
      </c>
    </row>
    <row r="48" ht="20" customHeight="1" spans="1:8">
      <c r="A48" s="24" t="s">
        <v>197</v>
      </c>
      <c r="B48" s="25" t="s">
        <v>194</v>
      </c>
      <c r="C48" s="26" t="s">
        <v>158</v>
      </c>
      <c r="D48" s="27">
        <v>149</v>
      </c>
      <c r="E48" s="28">
        <v>9999</v>
      </c>
      <c r="F48" s="29">
        <v>9975</v>
      </c>
      <c r="G48" s="30">
        <f t="shared" si="2"/>
        <v>24</v>
      </c>
      <c r="H48" s="31">
        <f t="shared" si="3"/>
        <v>3576</v>
      </c>
    </row>
    <row r="49" ht="20" customHeight="1" spans="1:8">
      <c r="A49" s="32" t="s">
        <v>198</v>
      </c>
      <c r="B49" s="33" t="s">
        <v>194</v>
      </c>
      <c r="C49" s="34" t="s">
        <v>158</v>
      </c>
      <c r="D49" s="35">
        <v>149</v>
      </c>
      <c r="E49" s="36">
        <v>9999</v>
      </c>
      <c r="F49" s="37">
        <v>9986</v>
      </c>
      <c r="G49" s="39">
        <f t="shared" si="2"/>
        <v>13</v>
      </c>
      <c r="H49" s="38">
        <f t="shared" si="3"/>
        <v>1937</v>
      </c>
    </row>
    <row r="50" ht="20" customHeight="1" spans="1:8">
      <c r="A50" s="24" t="s">
        <v>199</v>
      </c>
      <c r="B50" s="25" t="s">
        <v>194</v>
      </c>
      <c r="C50" s="26" t="s">
        <v>158</v>
      </c>
      <c r="D50" s="27">
        <v>149</v>
      </c>
      <c r="E50" s="28">
        <v>9999</v>
      </c>
      <c r="F50" s="29">
        <v>9988</v>
      </c>
      <c r="G50" s="39">
        <f t="shared" si="2"/>
        <v>11</v>
      </c>
      <c r="H50" s="31">
        <f t="shared" si="3"/>
        <v>1639</v>
      </c>
    </row>
    <row r="51" ht="20" customHeight="1" spans="1:8">
      <c r="A51" s="32" t="s">
        <v>200</v>
      </c>
      <c r="B51" s="33" t="s">
        <v>194</v>
      </c>
      <c r="C51" s="34" t="s">
        <v>158</v>
      </c>
      <c r="D51" s="35">
        <v>149</v>
      </c>
      <c r="E51" s="36">
        <v>9999</v>
      </c>
      <c r="F51" s="37">
        <v>9989</v>
      </c>
      <c r="G51" s="39">
        <f t="shared" si="2"/>
        <v>10</v>
      </c>
      <c r="H51" s="38">
        <f t="shared" si="3"/>
        <v>1490</v>
      </c>
    </row>
    <row r="52" ht="20" customHeight="1" spans="1:8">
      <c r="A52" s="24" t="s">
        <v>201</v>
      </c>
      <c r="B52" s="25" t="s">
        <v>194</v>
      </c>
      <c r="C52" s="26" t="s">
        <v>158</v>
      </c>
      <c r="D52" s="27">
        <v>149</v>
      </c>
      <c r="E52" s="28">
        <v>9999</v>
      </c>
      <c r="F52" s="29">
        <v>9992</v>
      </c>
      <c r="G52" s="39">
        <f t="shared" si="2"/>
        <v>7</v>
      </c>
      <c r="H52" s="31">
        <f t="shared" si="3"/>
        <v>1043</v>
      </c>
    </row>
    <row r="53" ht="20" customHeight="1" spans="1:8">
      <c r="A53" s="32" t="s">
        <v>202</v>
      </c>
      <c r="B53" s="33" t="s">
        <v>194</v>
      </c>
      <c r="C53" s="34" t="s">
        <v>158</v>
      </c>
      <c r="D53" s="35">
        <v>149</v>
      </c>
      <c r="E53" s="36">
        <v>9999</v>
      </c>
      <c r="F53" s="37">
        <v>9994</v>
      </c>
      <c r="G53" s="39">
        <f t="shared" si="2"/>
        <v>5</v>
      </c>
      <c r="H53" s="38">
        <f t="shared" si="3"/>
        <v>745</v>
      </c>
    </row>
    <row r="54" ht="20" customHeight="1" spans="1:8">
      <c r="A54" s="24" t="s">
        <v>203</v>
      </c>
      <c r="B54" s="25" t="s">
        <v>194</v>
      </c>
      <c r="C54" s="26" t="s">
        <v>158</v>
      </c>
      <c r="D54" s="27">
        <v>149</v>
      </c>
      <c r="E54" s="28">
        <v>9999</v>
      </c>
      <c r="F54" s="29">
        <v>9996</v>
      </c>
      <c r="G54" s="39">
        <f t="shared" si="2"/>
        <v>3</v>
      </c>
      <c r="H54" s="31">
        <f t="shared" si="3"/>
        <v>447</v>
      </c>
    </row>
    <row r="55" ht="20" customHeight="1" spans="1:8">
      <c r="A55" s="32" t="s">
        <v>204</v>
      </c>
      <c r="B55" s="33" t="s">
        <v>194</v>
      </c>
      <c r="C55" s="34" t="s">
        <v>158</v>
      </c>
      <c r="D55" s="35">
        <v>149</v>
      </c>
      <c r="E55" s="36">
        <v>9999</v>
      </c>
      <c r="F55" s="37">
        <v>9997</v>
      </c>
      <c r="G55" s="39">
        <f t="shared" si="2"/>
        <v>2</v>
      </c>
      <c r="H55" s="38">
        <f t="shared" si="3"/>
        <v>298</v>
      </c>
    </row>
    <row r="56" ht="20" customHeight="1" spans="1:8">
      <c r="A56" s="24" t="s">
        <v>205</v>
      </c>
      <c r="B56" s="25" t="s">
        <v>194</v>
      </c>
      <c r="C56" s="26" t="s">
        <v>158</v>
      </c>
      <c r="D56" s="27">
        <v>149</v>
      </c>
      <c r="E56" s="28">
        <v>9999</v>
      </c>
      <c r="F56" s="29">
        <v>9998</v>
      </c>
      <c r="G56" s="39">
        <f t="shared" si="2"/>
        <v>1</v>
      </c>
      <c r="H56" s="31">
        <f t="shared" si="3"/>
        <v>149</v>
      </c>
    </row>
    <row r="57" ht="20" customHeight="1" spans="1:8">
      <c r="A57" s="32" t="s">
        <v>206</v>
      </c>
      <c r="B57" s="33" t="s">
        <v>194</v>
      </c>
      <c r="C57" s="34" t="s">
        <v>158</v>
      </c>
      <c r="D57" s="35">
        <v>105</v>
      </c>
      <c r="E57" s="36">
        <v>9999</v>
      </c>
      <c r="F57" s="37">
        <v>9999</v>
      </c>
      <c r="G57" s="40">
        <f t="shared" si="2"/>
        <v>0</v>
      </c>
      <c r="H57" s="38">
        <f t="shared" si="3"/>
        <v>0</v>
      </c>
    </row>
    <row r="58" ht="20" customHeight="1" spans="1:8">
      <c r="A58" s="24" t="s">
        <v>207</v>
      </c>
      <c r="B58" s="25" t="s">
        <v>194</v>
      </c>
      <c r="C58" s="26" t="s">
        <v>158</v>
      </c>
      <c r="D58" s="27">
        <v>105</v>
      </c>
      <c r="E58" s="28">
        <v>9999</v>
      </c>
      <c r="F58" s="29">
        <v>9999</v>
      </c>
      <c r="G58" s="40">
        <f t="shared" si="2"/>
        <v>0</v>
      </c>
      <c r="H58" s="31">
        <f t="shared" si="3"/>
        <v>0</v>
      </c>
    </row>
    <row r="59" ht="20" customHeight="1" spans="1:8">
      <c r="A59" s="32" t="s">
        <v>208</v>
      </c>
      <c r="B59" s="33" t="s">
        <v>194</v>
      </c>
      <c r="C59" s="34" t="s">
        <v>158</v>
      </c>
      <c r="D59" s="35">
        <v>105</v>
      </c>
      <c r="E59" s="36">
        <v>9999</v>
      </c>
      <c r="F59" s="37">
        <v>9999</v>
      </c>
      <c r="G59" s="40">
        <f t="shared" si="2"/>
        <v>0</v>
      </c>
      <c r="H59" s="38">
        <f t="shared" si="3"/>
        <v>0</v>
      </c>
    </row>
    <row r="60" ht="20" customHeight="1" spans="1:8">
      <c r="A60" s="24" t="s">
        <v>209</v>
      </c>
      <c r="B60" s="25" t="s">
        <v>194</v>
      </c>
      <c r="C60" s="26" t="s">
        <v>158</v>
      </c>
      <c r="D60" s="27">
        <v>105</v>
      </c>
      <c r="E60" s="28">
        <v>9999</v>
      </c>
      <c r="F60" s="29">
        <v>9999</v>
      </c>
      <c r="G60" s="40">
        <f t="shared" si="2"/>
        <v>0</v>
      </c>
      <c r="H60" s="31">
        <f t="shared" si="3"/>
        <v>0</v>
      </c>
    </row>
    <row r="61" ht="20" customHeight="1" spans="1:8">
      <c r="A61" s="32" t="s">
        <v>210</v>
      </c>
      <c r="B61" s="33" t="s">
        <v>194</v>
      </c>
      <c r="C61" s="34" t="s">
        <v>158</v>
      </c>
      <c r="D61" s="35">
        <v>105</v>
      </c>
      <c r="E61" s="36">
        <v>9999</v>
      </c>
      <c r="F61" s="37">
        <v>9999</v>
      </c>
      <c r="G61" s="40">
        <f t="shared" si="2"/>
        <v>0</v>
      </c>
      <c r="H61" s="38">
        <f t="shared" si="3"/>
        <v>0</v>
      </c>
    </row>
    <row r="62" ht="20" customHeight="1" spans="1:8">
      <c r="A62" s="24" t="s">
        <v>211</v>
      </c>
      <c r="B62" s="25" t="s">
        <v>194</v>
      </c>
      <c r="C62" s="26" t="s">
        <v>158</v>
      </c>
      <c r="D62" s="27">
        <v>105</v>
      </c>
      <c r="E62" s="28">
        <v>9999</v>
      </c>
      <c r="F62" s="29">
        <v>9999</v>
      </c>
      <c r="G62" s="40">
        <f t="shared" si="2"/>
        <v>0</v>
      </c>
      <c r="H62" s="31">
        <f t="shared" si="3"/>
        <v>0</v>
      </c>
    </row>
    <row r="63" ht="20" customHeight="1" spans="1:8">
      <c r="A63" s="32" t="s">
        <v>212</v>
      </c>
      <c r="B63" s="33" t="s">
        <v>194</v>
      </c>
      <c r="C63" s="34" t="s">
        <v>158</v>
      </c>
      <c r="D63" s="35">
        <v>105</v>
      </c>
      <c r="E63" s="36">
        <v>9999</v>
      </c>
      <c r="F63" s="37">
        <v>9999</v>
      </c>
      <c r="G63" s="40">
        <f t="shared" si="2"/>
        <v>0</v>
      </c>
      <c r="H63" s="38">
        <f t="shared" si="3"/>
        <v>0</v>
      </c>
    </row>
    <row r="64" ht="20" customHeight="1" spans="1:8">
      <c r="A64" s="24" t="s">
        <v>213</v>
      </c>
      <c r="B64" s="25" t="s">
        <v>194</v>
      </c>
      <c r="C64" s="26" t="s">
        <v>158</v>
      </c>
      <c r="D64" s="27">
        <v>149</v>
      </c>
      <c r="E64" s="28">
        <v>9999</v>
      </c>
      <c r="F64" s="29">
        <v>9999</v>
      </c>
      <c r="G64" s="40">
        <f t="shared" si="2"/>
        <v>0</v>
      </c>
      <c r="H64" s="31">
        <f t="shared" si="3"/>
        <v>0</v>
      </c>
    </row>
    <row r="65" ht="20" customHeight="1" spans="1:8">
      <c r="A65" s="32" t="s">
        <v>214</v>
      </c>
      <c r="B65" s="33" t="s">
        <v>194</v>
      </c>
      <c r="C65" s="34" t="s">
        <v>158</v>
      </c>
      <c r="D65" s="35">
        <v>105</v>
      </c>
      <c r="E65" s="36">
        <v>9999</v>
      </c>
      <c r="F65" s="37">
        <v>9999</v>
      </c>
      <c r="G65" s="40">
        <f t="shared" si="2"/>
        <v>0</v>
      </c>
      <c r="H65" s="38">
        <f t="shared" si="3"/>
        <v>0</v>
      </c>
    </row>
    <row r="66" ht="20" customHeight="1" spans="1:8">
      <c r="A66" s="24" t="s">
        <v>215</v>
      </c>
      <c r="B66" s="25" t="s">
        <v>194</v>
      </c>
      <c r="C66" s="26" t="s">
        <v>158</v>
      </c>
      <c r="D66" s="27">
        <v>149</v>
      </c>
      <c r="E66" s="28">
        <v>9999</v>
      </c>
      <c r="F66" s="29">
        <v>9999</v>
      </c>
      <c r="G66" s="40">
        <f t="shared" si="2"/>
        <v>0</v>
      </c>
      <c r="H66" s="31">
        <f t="shared" si="3"/>
        <v>0</v>
      </c>
    </row>
    <row r="67" ht="20" customHeight="1" spans="1:8">
      <c r="A67" s="32" t="s">
        <v>216</v>
      </c>
      <c r="B67" s="33" t="s">
        <v>194</v>
      </c>
      <c r="C67" s="34" t="s">
        <v>158</v>
      </c>
      <c r="D67" s="35">
        <v>105</v>
      </c>
      <c r="E67" s="36">
        <v>9999</v>
      </c>
      <c r="F67" s="37">
        <v>9999</v>
      </c>
      <c r="G67" s="40">
        <f t="shared" si="2"/>
        <v>0</v>
      </c>
      <c r="H67" s="38">
        <f t="shared" si="3"/>
        <v>0</v>
      </c>
    </row>
    <row r="68" ht="20" customHeight="1" spans="1:8">
      <c r="A68" s="24" t="s">
        <v>217</v>
      </c>
      <c r="B68" s="25" t="s">
        <v>194</v>
      </c>
      <c r="C68" s="26" t="s">
        <v>158</v>
      </c>
      <c r="D68" s="27">
        <v>105</v>
      </c>
      <c r="E68" s="28">
        <v>9999</v>
      </c>
      <c r="F68" s="29">
        <v>9999</v>
      </c>
      <c r="G68" s="40">
        <f t="shared" si="2"/>
        <v>0</v>
      </c>
      <c r="H68" s="31">
        <f t="shared" si="3"/>
        <v>0</v>
      </c>
    </row>
    <row r="69" ht="20" customHeight="1" spans="1:8">
      <c r="A69" s="32" t="s">
        <v>218</v>
      </c>
      <c r="B69" s="33" t="s">
        <v>194</v>
      </c>
      <c r="C69" s="34" t="s">
        <v>158</v>
      </c>
      <c r="D69" s="35">
        <v>149</v>
      </c>
      <c r="E69" s="36">
        <v>9999</v>
      </c>
      <c r="F69" s="37">
        <v>9999</v>
      </c>
      <c r="G69" s="40">
        <f t="shared" si="2"/>
        <v>0</v>
      </c>
      <c r="H69" s="38">
        <f t="shared" si="3"/>
        <v>0</v>
      </c>
    </row>
    <row r="70" ht="22" customHeight="1" spans="1:8">
      <c r="A70" s="41"/>
      <c r="B70" s="41"/>
      <c r="C70" s="41"/>
      <c r="D70" s="41"/>
      <c r="E70" s="41"/>
      <c r="F70" s="41"/>
      <c r="G70" s="42">
        <f>SUM(G45:G69)</f>
        <v>247</v>
      </c>
      <c r="H70" s="43">
        <f>SUM(H45:H69)</f>
        <v>35759</v>
      </c>
    </row>
    <row r="71" ht="24" customHeight="1"/>
    <row r="72" ht="20" customHeight="1" spans="1:8">
      <c r="A72" s="24" t="s">
        <v>219</v>
      </c>
      <c r="B72" s="25" t="s">
        <v>220</v>
      </c>
      <c r="C72" s="26" t="s">
        <v>158</v>
      </c>
      <c r="D72" s="27">
        <v>129</v>
      </c>
      <c r="E72" s="28">
        <v>9999</v>
      </c>
      <c r="F72" s="29">
        <v>9974</v>
      </c>
      <c r="G72" s="30">
        <f>E72-F72</f>
        <v>25</v>
      </c>
      <c r="H72" s="31">
        <f>G72*D72</f>
        <v>3225</v>
      </c>
    </row>
    <row r="73" ht="20" customHeight="1" spans="1:8">
      <c r="A73" s="32" t="s">
        <v>221</v>
      </c>
      <c r="B73" s="33" t="s">
        <v>220</v>
      </c>
      <c r="C73" s="34" t="s">
        <v>158</v>
      </c>
      <c r="D73" s="35">
        <v>129</v>
      </c>
      <c r="E73" s="36">
        <v>9999</v>
      </c>
      <c r="F73" s="37">
        <v>9976</v>
      </c>
      <c r="G73" s="30">
        <f>E73-F73</f>
        <v>23</v>
      </c>
      <c r="H73" s="38">
        <f>G73*D73</f>
        <v>2967</v>
      </c>
    </row>
    <row r="74" ht="20" customHeight="1" spans="1:8">
      <c r="A74" s="24" t="s">
        <v>222</v>
      </c>
      <c r="B74" s="25" t="s">
        <v>220</v>
      </c>
      <c r="C74" s="26" t="s">
        <v>158</v>
      </c>
      <c r="D74" s="27">
        <v>129</v>
      </c>
      <c r="E74" s="28">
        <v>9999</v>
      </c>
      <c r="F74" s="29">
        <v>9979</v>
      </c>
      <c r="G74" s="30">
        <f>E74-F74</f>
        <v>20</v>
      </c>
      <c r="H74" s="31">
        <f>G74*D74</f>
        <v>2580</v>
      </c>
    </row>
    <row r="75" ht="20" customHeight="1" spans="1:8">
      <c r="A75" s="32" t="s">
        <v>223</v>
      </c>
      <c r="B75" s="33" t="s">
        <v>220</v>
      </c>
      <c r="C75" s="34" t="s">
        <v>158</v>
      </c>
      <c r="D75" s="35">
        <v>129</v>
      </c>
      <c r="E75" s="36">
        <v>9999</v>
      </c>
      <c r="F75" s="37">
        <v>9991</v>
      </c>
      <c r="G75" s="39">
        <f>E75-F75</f>
        <v>8</v>
      </c>
      <c r="H75" s="38">
        <f>G75*D75</f>
        <v>1032</v>
      </c>
    </row>
    <row r="76" ht="20" customHeight="1" spans="1:8">
      <c r="A76" s="24" t="s">
        <v>224</v>
      </c>
      <c r="B76" s="25" t="s">
        <v>220</v>
      </c>
      <c r="C76" s="26" t="s">
        <v>158</v>
      </c>
      <c r="D76" s="27">
        <v>129</v>
      </c>
      <c r="E76" s="28">
        <v>9999</v>
      </c>
      <c r="F76" s="29">
        <v>9994</v>
      </c>
      <c r="G76" s="39">
        <f>E76-F76</f>
        <v>5</v>
      </c>
      <c r="H76" s="31">
        <f>G76*D76</f>
        <v>645</v>
      </c>
    </row>
    <row r="77" ht="22" customHeight="1" spans="1:8">
      <c r="A77" s="41"/>
      <c r="B77" s="41"/>
      <c r="C77" s="41"/>
      <c r="D77" s="41"/>
      <c r="E77" s="41"/>
      <c r="F77" s="41"/>
      <c r="G77" s="42">
        <f>SUM(G72:G76)</f>
        <v>81</v>
      </c>
      <c r="H77" s="43">
        <f>SUM(H72:H76)</f>
        <v>10449</v>
      </c>
    </row>
    <row r="78" ht="24" customHeight="1"/>
    <row r="79" ht="20" customHeight="1" spans="1:8">
      <c r="A79" s="32" t="s">
        <v>225</v>
      </c>
      <c r="B79" s="33" t="s">
        <v>226</v>
      </c>
      <c r="C79" s="34" t="s">
        <v>158</v>
      </c>
      <c r="D79" s="35">
        <v>129</v>
      </c>
      <c r="E79" s="36">
        <v>9999</v>
      </c>
      <c r="F79" s="37">
        <v>9995</v>
      </c>
      <c r="G79" s="39">
        <f t="shared" ref="G79:G84" si="4">E79-F79</f>
        <v>4</v>
      </c>
      <c r="H79" s="38">
        <f t="shared" ref="H79:H84" si="5">G79*D79</f>
        <v>516</v>
      </c>
    </row>
    <row r="80" ht="20" customHeight="1" spans="1:8">
      <c r="A80" s="24" t="s">
        <v>227</v>
      </c>
      <c r="B80" s="25" t="s">
        <v>226</v>
      </c>
      <c r="C80" s="26" t="s">
        <v>158</v>
      </c>
      <c r="D80" s="27">
        <v>129</v>
      </c>
      <c r="E80" s="28">
        <v>9999</v>
      </c>
      <c r="F80" s="29">
        <v>9996</v>
      </c>
      <c r="G80" s="39">
        <f t="shared" si="4"/>
        <v>3</v>
      </c>
      <c r="H80" s="31">
        <f t="shared" si="5"/>
        <v>387</v>
      </c>
    </row>
    <row r="81" ht="20" customHeight="1" spans="1:8">
      <c r="A81" s="32" t="s">
        <v>228</v>
      </c>
      <c r="B81" s="33" t="s">
        <v>226</v>
      </c>
      <c r="C81" s="34" t="s">
        <v>158</v>
      </c>
      <c r="D81" s="35">
        <v>129</v>
      </c>
      <c r="E81" s="36">
        <v>9999</v>
      </c>
      <c r="F81" s="37">
        <v>9996</v>
      </c>
      <c r="G81" s="39">
        <f t="shared" si="4"/>
        <v>3</v>
      </c>
      <c r="H81" s="38">
        <f t="shared" si="5"/>
        <v>387</v>
      </c>
    </row>
    <row r="82" ht="20" customHeight="1" spans="1:8">
      <c r="A82" s="24" t="s">
        <v>229</v>
      </c>
      <c r="B82" s="25" t="s">
        <v>226</v>
      </c>
      <c r="C82" s="26" t="s">
        <v>158</v>
      </c>
      <c r="D82" s="27">
        <v>129</v>
      </c>
      <c r="E82" s="28">
        <v>9999</v>
      </c>
      <c r="F82" s="29">
        <v>9998</v>
      </c>
      <c r="G82" s="39">
        <f t="shared" si="4"/>
        <v>1</v>
      </c>
      <c r="H82" s="31">
        <f t="shared" si="5"/>
        <v>129</v>
      </c>
    </row>
    <row r="83" ht="20" customHeight="1" spans="1:8">
      <c r="A83" s="32" t="s">
        <v>230</v>
      </c>
      <c r="B83" s="33" t="s">
        <v>226</v>
      </c>
      <c r="C83" s="34" t="s">
        <v>158</v>
      </c>
      <c r="D83" s="35">
        <v>149</v>
      </c>
      <c r="E83" s="36">
        <v>9999</v>
      </c>
      <c r="F83" s="37">
        <v>9999</v>
      </c>
      <c r="G83" s="40">
        <f t="shared" si="4"/>
        <v>0</v>
      </c>
      <c r="H83" s="38">
        <f t="shared" si="5"/>
        <v>0</v>
      </c>
    </row>
    <row r="84" ht="20" customHeight="1" spans="1:8">
      <c r="A84" s="24" t="s">
        <v>231</v>
      </c>
      <c r="B84" s="25" t="s">
        <v>226</v>
      </c>
      <c r="C84" s="26" t="s">
        <v>158</v>
      </c>
      <c r="D84" s="27">
        <v>129</v>
      </c>
      <c r="E84" s="28">
        <v>9999</v>
      </c>
      <c r="F84" s="29">
        <v>9999</v>
      </c>
      <c r="G84" s="40">
        <f t="shared" si="4"/>
        <v>0</v>
      </c>
      <c r="H84" s="31">
        <f t="shared" si="5"/>
        <v>0</v>
      </c>
    </row>
    <row r="85" ht="22" customHeight="1" spans="1:8">
      <c r="A85" s="41"/>
      <c r="B85" s="41"/>
      <c r="C85" s="41"/>
      <c r="D85" s="41"/>
      <c r="E85" s="41"/>
      <c r="F85" s="41"/>
      <c r="G85" s="42">
        <f>SUM(G79:G84)</f>
        <v>11</v>
      </c>
      <c r="H85" s="43">
        <f>SUM(H79:H84)</f>
        <v>1419</v>
      </c>
    </row>
    <row r="86" ht="24" customHeight="1"/>
    <row r="87" ht="20" customHeight="1" spans="1:8">
      <c r="A87" s="32" t="s">
        <v>232</v>
      </c>
      <c r="B87" s="33" t="s">
        <v>233</v>
      </c>
      <c r="C87" s="34" t="s">
        <v>158</v>
      </c>
      <c r="D87" s="35">
        <v>149</v>
      </c>
      <c r="E87" s="36">
        <v>9999</v>
      </c>
      <c r="F87" s="37">
        <v>9988</v>
      </c>
      <c r="G87" s="39">
        <f t="shared" ref="G87:G98" si="6">E87-F87</f>
        <v>11</v>
      </c>
      <c r="H87" s="38">
        <f t="shared" ref="H87:H98" si="7">G87*D87</f>
        <v>1639</v>
      </c>
    </row>
    <row r="88" ht="20" customHeight="1" spans="1:8">
      <c r="A88" s="24" t="s">
        <v>234</v>
      </c>
      <c r="B88" s="25" t="s">
        <v>233</v>
      </c>
      <c r="C88" s="26" t="s">
        <v>158</v>
      </c>
      <c r="D88" s="27">
        <v>149</v>
      </c>
      <c r="E88" s="28">
        <v>9999</v>
      </c>
      <c r="F88" s="29">
        <v>9992</v>
      </c>
      <c r="G88" s="39">
        <f t="shared" si="6"/>
        <v>7</v>
      </c>
      <c r="H88" s="31">
        <f t="shared" si="7"/>
        <v>1043</v>
      </c>
    </row>
    <row r="89" ht="20" customHeight="1" spans="1:8">
      <c r="A89" s="32" t="s">
        <v>235</v>
      </c>
      <c r="B89" s="33" t="s">
        <v>233</v>
      </c>
      <c r="C89" s="34" t="s">
        <v>158</v>
      </c>
      <c r="D89" s="35">
        <v>149</v>
      </c>
      <c r="E89" s="36">
        <v>9999</v>
      </c>
      <c r="F89" s="37">
        <v>9995</v>
      </c>
      <c r="G89" s="39">
        <f t="shared" si="6"/>
        <v>4</v>
      </c>
      <c r="H89" s="38">
        <f t="shared" si="7"/>
        <v>596</v>
      </c>
    </row>
    <row r="90" ht="20" customHeight="1" spans="1:8">
      <c r="A90" s="24" t="s">
        <v>236</v>
      </c>
      <c r="B90" s="25" t="s">
        <v>233</v>
      </c>
      <c r="C90" s="26" t="s">
        <v>158</v>
      </c>
      <c r="D90" s="27">
        <v>149</v>
      </c>
      <c r="E90" s="28">
        <v>9999</v>
      </c>
      <c r="F90" s="29">
        <v>9996</v>
      </c>
      <c r="G90" s="39">
        <f t="shared" si="6"/>
        <v>3</v>
      </c>
      <c r="H90" s="31">
        <f t="shared" si="7"/>
        <v>447</v>
      </c>
    </row>
    <row r="91" ht="20" customHeight="1" spans="1:8">
      <c r="A91" s="32" t="s">
        <v>237</v>
      </c>
      <c r="B91" s="33" t="s">
        <v>233</v>
      </c>
      <c r="C91" s="34" t="s">
        <v>158</v>
      </c>
      <c r="D91" s="35">
        <v>149</v>
      </c>
      <c r="E91" s="36">
        <v>9999</v>
      </c>
      <c r="F91" s="37">
        <v>9997</v>
      </c>
      <c r="G91" s="39">
        <f t="shared" si="6"/>
        <v>2</v>
      </c>
      <c r="H91" s="38">
        <f t="shared" si="7"/>
        <v>298</v>
      </c>
    </row>
    <row r="92" ht="20" customHeight="1" spans="1:8">
      <c r="A92" s="24" t="s">
        <v>238</v>
      </c>
      <c r="B92" s="25" t="s">
        <v>233</v>
      </c>
      <c r="C92" s="26" t="s">
        <v>158</v>
      </c>
      <c r="D92" s="27">
        <v>149</v>
      </c>
      <c r="E92" s="28">
        <v>9999</v>
      </c>
      <c r="F92" s="29">
        <v>9999</v>
      </c>
      <c r="G92" s="40">
        <f t="shared" si="6"/>
        <v>0</v>
      </c>
      <c r="H92" s="31">
        <f t="shared" si="7"/>
        <v>0</v>
      </c>
    </row>
    <row r="93" ht="20" customHeight="1" spans="1:8">
      <c r="A93" s="32" t="s">
        <v>239</v>
      </c>
      <c r="B93" s="33" t="s">
        <v>233</v>
      </c>
      <c r="C93" s="34" t="s">
        <v>158</v>
      </c>
      <c r="D93" s="35">
        <v>105</v>
      </c>
      <c r="E93" s="36">
        <v>9999</v>
      </c>
      <c r="F93" s="37">
        <v>9999</v>
      </c>
      <c r="G93" s="40">
        <f t="shared" si="6"/>
        <v>0</v>
      </c>
      <c r="H93" s="38">
        <f t="shared" si="7"/>
        <v>0</v>
      </c>
    </row>
    <row r="94" ht="20" customHeight="1" spans="1:8">
      <c r="A94" s="24" t="s">
        <v>240</v>
      </c>
      <c r="B94" s="25" t="s">
        <v>233</v>
      </c>
      <c r="C94" s="26" t="s">
        <v>158</v>
      </c>
      <c r="D94" s="27">
        <v>105</v>
      </c>
      <c r="E94" s="28">
        <v>9999</v>
      </c>
      <c r="F94" s="29">
        <v>9999</v>
      </c>
      <c r="G94" s="40">
        <f t="shared" si="6"/>
        <v>0</v>
      </c>
      <c r="H94" s="31">
        <f t="shared" si="7"/>
        <v>0</v>
      </c>
    </row>
    <row r="95" ht="20" customHeight="1" spans="1:8">
      <c r="A95" s="32" t="s">
        <v>241</v>
      </c>
      <c r="B95" s="33" t="s">
        <v>233</v>
      </c>
      <c r="C95" s="34" t="s">
        <v>158</v>
      </c>
      <c r="D95" s="35">
        <v>105</v>
      </c>
      <c r="E95" s="36">
        <v>9999</v>
      </c>
      <c r="F95" s="37">
        <v>9999</v>
      </c>
      <c r="G95" s="40">
        <f t="shared" si="6"/>
        <v>0</v>
      </c>
      <c r="H95" s="38">
        <f t="shared" si="7"/>
        <v>0</v>
      </c>
    </row>
    <row r="96" ht="20" customHeight="1" spans="1:8">
      <c r="A96" s="24" t="s">
        <v>242</v>
      </c>
      <c r="B96" s="25" t="s">
        <v>233</v>
      </c>
      <c r="C96" s="26" t="s">
        <v>158</v>
      </c>
      <c r="D96" s="27">
        <v>105</v>
      </c>
      <c r="E96" s="28">
        <v>9999</v>
      </c>
      <c r="F96" s="29">
        <v>9999</v>
      </c>
      <c r="G96" s="40">
        <f t="shared" si="6"/>
        <v>0</v>
      </c>
      <c r="H96" s="31">
        <f t="shared" si="7"/>
        <v>0</v>
      </c>
    </row>
    <row r="97" ht="20" customHeight="1" spans="1:8">
      <c r="A97" s="32" t="s">
        <v>243</v>
      </c>
      <c r="B97" s="33" t="s">
        <v>233</v>
      </c>
      <c r="C97" s="34" t="s">
        <v>158</v>
      </c>
      <c r="D97" s="35">
        <v>105</v>
      </c>
      <c r="E97" s="36">
        <v>9999</v>
      </c>
      <c r="F97" s="37">
        <v>9999</v>
      </c>
      <c r="G97" s="40">
        <f t="shared" si="6"/>
        <v>0</v>
      </c>
      <c r="H97" s="38">
        <f t="shared" si="7"/>
        <v>0</v>
      </c>
    </row>
    <row r="98" ht="20" customHeight="1" spans="1:8">
      <c r="A98" s="24" t="s">
        <v>244</v>
      </c>
      <c r="B98" s="25" t="s">
        <v>233</v>
      </c>
      <c r="C98" s="26" t="s">
        <v>158</v>
      </c>
      <c r="D98" s="27">
        <v>149</v>
      </c>
      <c r="E98" s="28">
        <v>9999</v>
      </c>
      <c r="F98" s="29">
        <v>9999</v>
      </c>
      <c r="G98" s="40">
        <f t="shared" si="6"/>
        <v>0</v>
      </c>
      <c r="H98" s="31">
        <f t="shared" si="7"/>
        <v>0</v>
      </c>
    </row>
    <row r="99" ht="22" customHeight="1" spans="1:8">
      <c r="A99" s="41"/>
      <c r="B99" s="41"/>
      <c r="C99" s="41"/>
      <c r="D99" s="41"/>
      <c r="E99" s="41"/>
      <c r="F99" s="41"/>
      <c r="G99" s="42">
        <f>SUM(G87:G98)</f>
        <v>27</v>
      </c>
      <c r="H99" s="43">
        <f>SUM(H87:H98)</f>
        <v>4023</v>
      </c>
    </row>
    <row r="100" ht="24" customHeight="1"/>
    <row r="101" ht="20" customHeight="1" spans="1:8">
      <c r="A101" s="32" t="s">
        <v>245</v>
      </c>
      <c r="B101" s="33" t="s">
        <v>246</v>
      </c>
      <c r="C101" s="34" t="s">
        <v>158</v>
      </c>
      <c r="D101" s="35">
        <v>169</v>
      </c>
      <c r="E101" s="36">
        <v>9999</v>
      </c>
      <c r="F101" s="37">
        <v>9997</v>
      </c>
      <c r="G101" s="39">
        <f t="shared" ref="G101:G107" si="8">E101-F101</f>
        <v>2</v>
      </c>
      <c r="H101" s="38">
        <f t="shared" ref="H101:H107" si="9">G101*D101</f>
        <v>338</v>
      </c>
    </row>
    <row r="102" ht="20" customHeight="1" spans="1:8">
      <c r="A102" s="24" t="s">
        <v>247</v>
      </c>
      <c r="B102" s="25" t="s">
        <v>246</v>
      </c>
      <c r="C102" s="26" t="s">
        <v>158</v>
      </c>
      <c r="D102" s="27">
        <v>169</v>
      </c>
      <c r="E102" s="28">
        <v>9999</v>
      </c>
      <c r="F102" s="29">
        <v>9998</v>
      </c>
      <c r="G102" s="39">
        <f t="shared" si="8"/>
        <v>1</v>
      </c>
      <c r="H102" s="31">
        <f t="shared" si="9"/>
        <v>169</v>
      </c>
    </row>
    <row r="103" ht="20" customHeight="1" spans="1:8">
      <c r="A103" s="32" t="s">
        <v>248</v>
      </c>
      <c r="B103" s="33" t="s">
        <v>246</v>
      </c>
      <c r="C103" s="34" t="s">
        <v>158</v>
      </c>
      <c r="D103" s="35">
        <v>169</v>
      </c>
      <c r="E103" s="36">
        <v>9999</v>
      </c>
      <c r="F103" s="37">
        <v>9998</v>
      </c>
      <c r="G103" s="39">
        <f t="shared" si="8"/>
        <v>1</v>
      </c>
      <c r="H103" s="38">
        <f t="shared" si="9"/>
        <v>169</v>
      </c>
    </row>
    <row r="104" ht="20" customHeight="1" spans="1:8">
      <c r="A104" s="24" t="s">
        <v>249</v>
      </c>
      <c r="B104" s="25" t="s">
        <v>246</v>
      </c>
      <c r="C104" s="26" t="s">
        <v>158</v>
      </c>
      <c r="D104" s="27">
        <v>169</v>
      </c>
      <c r="E104" s="28">
        <v>9999</v>
      </c>
      <c r="F104" s="29">
        <v>9998</v>
      </c>
      <c r="G104" s="39">
        <f t="shared" si="8"/>
        <v>1</v>
      </c>
      <c r="H104" s="31">
        <f t="shared" si="9"/>
        <v>169</v>
      </c>
    </row>
    <row r="105" ht="20" customHeight="1" spans="1:8">
      <c r="A105" s="32" t="s">
        <v>250</v>
      </c>
      <c r="B105" s="33" t="s">
        <v>246</v>
      </c>
      <c r="C105" s="34" t="s">
        <v>158</v>
      </c>
      <c r="D105" s="35">
        <v>169</v>
      </c>
      <c r="E105" s="36">
        <v>9999</v>
      </c>
      <c r="F105" s="37">
        <v>9999</v>
      </c>
      <c r="G105" s="40">
        <f t="shared" si="8"/>
        <v>0</v>
      </c>
      <c r="H105" s="38">
        <f t="shared" si="9"/>
        <v>0</v>
      </c>
    </row>
    <row r="106" ht="20" customHeight="1" spans="1:8">
      <c r="A106" s="24" t="s">
        <v>251</v>
      </c>
      <c r="B106" s="25" t="s">
        <v>246</v>
      </c>
      <c r="C106" s="26" t="s">
        <v>158</v>
      </c>
      <c r="D106" s="27">
        <v>169</v>
      </c>
      <c r="E106" s="28">
        <v>9999</v>
      </c>
      <c r="F106" s="29">
        <v>9999</v>
      </c>
      <c r="G106" s="40">
        <f t="shared" si="8"/>
        <v>0</v>
      </c>
      <c r="H106" s="31">
        <f t="shared" si="9"/>
        <v>0</v>
      </c>
    </row>
    <row r="107" ht="20" customHeight="1" spans="1:8">
      <c r="A107" s="32" t="s">
        <v>252</v>
      </c>
      <c r="B107" s="33" t="s">
        <v>246</v>
      </c>
      <c r="C107" s="34" t="s">
        <v>158</v>
      </c>
      <c r="D107" s="35">
        <v>169</v>
      </c>
      <c r="E107" s="36">
        <v>9999</v>
      </c>
      <c r="F107" s="37">
        <v>9999</v>
      </c>
      <c r="G107" s="40">
        <f t="shared" si="8"/>
        <v>0</v>
      </c>
      <c r="H107" s="38">
        <f t="shared" si="9"/>
        <v>0</v>
      </c>
    </row>
    <row r="108" ht="22" customHeight="1" spans="1:8">
      <c r="A108" s="41"/>
      <c r="B108" s="41"/>
      <c r="C108" s="41"/>
      <c r="D108" s="41"/>
      <c r="E108" s="41"/>
      <c r="F108" s="41"/>
      <c r="G108" s="42">
        <f>SUM(G101:G107)</f>
        <v>5</v>
      </c>
      <c r="H108" s="43">
        <f>SUM(H101:H107)</f>
        <v>845</v>
      </c>
    </row>
    <row r="109" ht="24" customHeight="1"/>
    <row r="110" ht="20" customHeight="1" spans="1:8">
      <c r="A110" s="24" t="s">
        <v>253</v>
      </c>
      <c r="B110" s="25" t="s">
        <v>254</v>
      </c>
      <c r="C110" s="26" t="s">
        <v>255</v>
      </c>
      <c r="D110" s="27">
        <v>149</v>
      </c>
      <c r="E110" s="28">
        <v>100</v>
      </c>
      <c r="F110" s="29">
        <v>91</v>
      </c>
      <c r="G110" s="39">
        <f t="shared" ref="G110:G119" si="10">E110-F110</f>
        <v>9</v>
      </c>
      <c r="H110" s="31">
        <f t="shared" ref="H110:H119" si="11">G110*D110</f>
        <v>1341</v>
      </c>
    </row>
    <row r="111" ht="20" customHeight="1" spans="1:8">
      <c r="A111" s="32" t="s">
        <v>256</v>
      </c>
      <c r="B111" s="33" t="s">
        <v>254</v>
      </c>
      <c r="C111" s="34" t="s">
        <v>158</v>
      </c>
      <c r="D111" s="35">
        <v>99</v>
      </c>
      <c r="E111" s="36">
        <v>9999</v>
      </c>
      <c r="F111" s="37">
        <v>9995</v>
      </c>
      <c r="G111" s="39">
        <f t="shared" si="10"/>
        <v>4</v>
      </c>
      <c r="H111" s="38">
        <f t="shared" si="11"/>
        <v>396</v>
      </c>
    </row>
    <row r="112" ht="20" customHeight="1" spans="1:8">
      <c r="A112" s="24" t="s">
        <v>257</v>
      </c>
      <c r="B112" s="25" t="s">
        <v>254</v>
      </c>
      <c r="C112" s="26" t="s">
        <v>158</v>
      </c>
      <c r="D112" s="27">
        <v>129</v>
      </c>
      <c r="E112" s="28">
        <v>9999</v>
      </c>
      <c r="F112" s="29">
        <v>9995</v>
      </c>
      <c r="G112" s="39">
        <f t="shared" si="10"/>
        <v>4</v>
      </c>
      <c r="H112" s="31">
        <f t="shared" si="11"/>
        <v>516</v>
      </c>
    </row>
    <row r="113" ht="20" customHeight="1" spans="1:8">
      <c r="A113" s="32" t="s">
        <v>258</v>
      </c>
      <c r="B113" s="33" t="s">
        <v>254</v>
      </c>
      <c r="C113" s="34" t="s">
        <v>255</v>
      </c>
      <c r="D113" s="35">
        <v>149</v>
      </c>
      <c r="E113" s="36">
        <v>100</v>
      </c>
      <c r="F113" s="37">
        <v>98</v>
      </c>
      <c r="G113" s="39">
        <f t="shared" si="10"/>
        <v>2</v>
      </c>
      <c r="H113" s="38">
        <f t="shared" si="11"/>
        <v>298</v>
      </c>
    </row>
    <row r="114" ht="20" customHeight="1" spans="1:8">
      <c r="A114" s="24" t="s">
        <v>259</v>
      </c>
      <c r="B114" s="25" t="s">
        <v>254</v>
      </c>
      <c r="C114" s="26" t="s">
        <v>158</v>
      </c>
      <c r="D114" s="27">
        <v>99</v>
      </c>
      <c r="E114" s="28">
        <v>9999</v>
      </c>
      <c r="F114" s="29">
        <v>9999</v>
      </c>
      <c r="G114" s="40">
        <f t="shared" si="10"/>
        <v>0</v>
      </c>
      <c r="H114" s="31">
        <f t="shared" si="11"/>
        <v>0</v>
      </c>
    </row>
    <row r="115" ht="20" customHeight="1" spans="1:8">
      <c r="A115" s="32" t="s">
        <v>260</v>
      </c>
      <c r="B115" s="33" t="s">
        <v>254</v>
      </c>
      <c r="C115" s="34" t="s">
        <v>255</v>
      </c>
      <c r="D115" s="35">
        <v>149</v>
      </c>
      <c r="E115" s="36">
        <v>100</v>
      </c>
      <c r="F115" s="37">
        <v>100</v>
      </c>
      <c r="G115" s="40">
        <f t="shared" si="10"/>
        <v>0</v>
      </c>
      <c r="H115" s="38">
        <f t="shared" si="11"/>
        <v>0</v>
      </c>
    </row>
    <row r="116" ht="20" customHeight="1" spans="1:8">
      <c r="A116" s="24" t="s">
        <v>261</v>
      </c>
      <c r="B116" s="25" t="s">
        <v>254</v>
      </c>
      <c r="C116" s="26" t="s">
        <v>255</v>
      </c>
      <c r="D116" s="27">
        <v>149</v>
      </c>
      <c r="E116" s="28">
        <v>100</v>
      </c>
      <c r="F116" s="29">
        <v>100</v>
      </c>
      <c r="G116" s="40">
        <f t="shared" si="10"/>
        <v>0</v>
      </c>
      <c r="H116" s="31">
        <f t="shared" si="11"/>
        <v>0</v>
      </c>
    </row>
    <row r="117" ht="20" customHeight="1" spans="1:8">
      <c r="A117" s="32" t="s">
        <v>262</v>
      </c>
      <c r="B117" s="33" t="s">
        <v>254</v>
      </c>
      <c r="C117" s="34" t="s">
        <v>255</v>
      </c>
      <c r="D117" s="35">
        <v>149</v>
      </c>
      <c r="E117" s="36">
        <v>100</v>
      </c>
      <c r="F117" s="37">
        <v>100</v>
      </c>
      <c r="G117" s="40">
        <f t="shared" si="10"/>
        <v>0</v>
      </c>
      <c r="H117" s="38">
        <f t="shared" si="11"/>
        <v>0</v>
      </c>
    </row>
    <row r="118" ht="20" customHeight="1" spans="1:8">
      <c r="A118" s="24" t="s">
        <v>263</v>
      </c>
      <c r="B118" s="25" t="s">
        <v>254</v>
      </c>
      <c r="C118" s="26" t="s">
        <v>255</v>
      </c>
      <c r="D118" s="27">
        <v>149</v>
      </c>
      <c r="E118" s="28">
        <v>100</v>
      </c>
      <c r="F118" s="29">
        <v>100</v>
      </c>
      <c r="G118" s="40">
        <f t="shared" si="10"/>
        <v>0</v>
      </c>
      <c r="H118" s="31">
        <f t="shared" si="11"/>
        <v>0</v>
      </c>
    </row>
    <row r="119" ht="20" customHeight="1" spans="1:8">
      <c r="A119" s="32" t="s">
        <v>264</v>
      </c>
      <c r="B119" s="33" t="s">
        <v>254</v>
      </c>
      <c r="C119" s="34" t="s">
        <v>158</v>
      </c>
      <c r="D119" s="35">
        <v>129</v>
      </c>
      <c r="E119" s="36">
        <v>9999</v>
      </c>
      <c r="F119" s="37">
        <v>9999</v>
      </c>
      <c r="G119" s="40">
        <f t="shared" si="10"/>
        <v>0</v>
      </c>
      <c r="H119" s="38">
        <f t="shared" si="11"/>
        <v>0</v>
      </c>
    </row>
    <row r="120" ht="22" customHeight="1" spans="1:8">
      <c r="A120" s="41"/>
      <c r="B120" s="41"/>
      <c r="C120" s="41"/>
      <c r="D120" s="41"/>
      <c r="E120" s="41"/>
      <c r="F120" s="41"/>
      <c r="G120" s="42">
        <f>SUM(G110:G119)</f>
        <v>19</v>
      </c>
      <c r="H120" s="43">
        <f>SUM(H110:H119)</f>
        <v>2551</v>
      </c>
    </row>
    <row r="121" ht="28" customHeight="1" spans="1:8">
      <c r="A121" s="44"/>
      <c r="B121" s="44"/>
      <c r="C121" s="44"/>
      <c r="D121" s="44"/>
      <c r="E121" s="44"/>
      <c r="F121" s="44"/>
      <c r="G121" s="45">
        <f>G43+G70+G77+G85+G99+G108+G120</f>
        <v>570</v>
      </c>
      <c r="H121" s="46">
        <f>H43+H70+H77+H85+H99+H108+H120</f>
        <v>75944</v>
      </c>
    </row>
  </sheetData>
  <mergeCells count="17">
    <mergeCell ref="A1:H1"/>
    <mergeCell ref="A2:H2"/>
    <mergeCell ref="A5:H5"/>
    <mergeCell ref="A43:F43"/>
    <mergeCell ref="A44:H44"/>
    <mergeCell ref="A70:F70"/>
    <mergeCell ref="A71:H71"/>
    <mergeCell ref="A77:F77"/>
    <mergeCell ref="A78:H78"/>
    <mergeCell ref="A85:F85"/>
    <mergeCell ref="A86:H86"/>
    <mergeCell ref="A99:F99"/>
    <mergeCell ref="A100:H100"/>
    <mergeCell ref="A108:F108"/>
    <mergeCell ref="A109:H109"/>
    <mergeCell ref="A120:F120"/>
    <mergeCell ref="A121:F1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51" zoomScaleNormal="51" workbookViewId="0">
      <selection activeCell="A1" sqref="A1:H1"/>
    </sheetView>
  </sheetViews>
  <sheetFormatPr defaultColWidth="9" defaultRowHeight="14.5" outlineLevelCol="7"/>
  <cols>
    <col min="1" max="1" width="14" customWidth="1"/>
    <col min="2" max="2" width="12" customWidth="1"/>
    <col min="3" max="3" width="30" customWidth="1"/>
    <col min="4" max="4" width="20" customWidth="1"/>
    <col min="5" max="6" width="14" customWidth="1"/>
    <col min="7" max="7" width="18" customWidth="1"/>
    <col min="8" max="8" width="22" customWidth="1"/>
  </cols>
  <sheetData>
    <row r="1" ht="30" customHeight="1" spans="1:8">
      <c r="A1" s="1" t="s">
        <v>265</v>
      </c>
    </row>
    <row r="2" ht="20" customHeight="1" spans="1:8">
      <c r="A2" s="2" t="s">
        <v>266</v>
      </c>
    </row>
    <row r="5" ht="24" customHeight="1" spans="1:8">
      <c r="A5" s="3" t="s">
        <v>267</v>
      </c>
    </row>
    <row r="6" ht="26" customHeight="1" spans="1:8">
      <c r="A6" s="4" t="s">
        <v>268</v>
      </c>
      <c r="B6" s="4" t="s">
        <v>269</v>
      </c>
      <c r="C6" s="4" t="s">
        <v>270</v>
      </c>
      <c r="D6" s="4" t="s">
        <v>149</v>
      </c>
      <c r="E6" s="4" t="s">
        <v>271</v>
      </c>
      <c r="F6" s="4" t="s">
        <v>272</v>
      </c>
      <c r="G6" s="4" t="s">
        <v>273</v>
      </c>
      <c r="H6" s="4" t="s">
        <v>274</v>
      </c>
    </row>
    <row r="7" ht="20" customHeight="1" spans="1:8">
      <c r="A7" s="5" t="s">
        <v>275</v>
      </c>
      <c r="B7" s="5" t="s">
        <v>276</v>
      </c>
      <c r="C7" s="6" t="s">
        <v>277</v>
      </c>
      <c r="D7" s="6" t="s">
        <v>278</v>
      </c>
      <c r="E7" s="7">
        <v>3</v>
      </c>
      <c r="F7" s="8">
        <v>95</v>
      </c>
      <c r="G7" s="9">
        <v>285</v>
      </c>
      <c r="H7" s="10" t="s">
        <v>279</v>
      </c>
    </row>
    <row r="8" ht="20" customHeight="1" spans="1:8">
      <c r="A8" s="11" t="s">
        <v>275</v>
      </c>
      <c r="B8" s="11" t="s">
        <v>280</v>
      </c>
      <c r="C8" s="12" t="s">
        <v>281</v>
      </c>
      <c r="D8" s="12" t="s">
        <v>278</v>
      </c>
      <c r="E8" s="13">
        <v>4</v>
      </c>
      <c r="F8" s="14">
        <v>139</v>
      </c>
      <c r="G8" s="15">
        <v>556</v>
      </c>
      <c r="H8" s="10" t="s">
        <v>279</v>
      </c>
    </row>
    <row r="9" ht="20" customHeight="1" spans="1:8">
      <c r="A9" s="5" t="s">
        <v>275</v>
      </c>
      <c r="B9" s="5" t="s">
        <v>282</v>
      </c>
      <c r="C9" s="6" t="s">
        <v>283</v>
      </c>
      <c r="D9" s="6" t="s">
        <v>278</v>
      </c>
      <c r="E9" s="7">
        <v>3</v>
      </c>
      <c r="F9" s="8">
        <v>59</v>
      </c>
      <c r="G9" s="9">
        <v>177</v>
      </c>
      <c r="H9" s="10" t="s">
        <v>279</v>
      </c>
    </row>
    <row r="10" ht="20" customHeight="1" spans="1:8">
      <c r="A10" s="11" t="s">
        <v>275</v>
      </c>
      <c r="B10" s="11" t="s">
        <v>284</v>
      </c>
      <c r="C10" s="12" t="s">
        <v>285</v>
      </c>
      <c r="D10" s="12" t="s">
        <v>278</v>
      </c>
      <c r="E10" s="13">
        <v>1</v>
      </c>
      <c r="F10" s="14">
        <v>99</v>
      </c>
      <c r="G10" s="15">
        <v>99</v>
      </c>
      <c r="H10" s="10" t="s">
        <v>279</v>
      </c>
    </row>
    <row r="11" ht="20" customHeight="1" spans="1:8">
      <c r="A11" s="5" t="s">
        <v>275</v>
      </c>
      <c r="B11" s="5" t="s">
        <v>286</v>
      </c>
      <c r="C11" s="6" t="s">
        <v>287</v>
      </c>
      <c r="D11" s="6" t="s">
        <v>278</v>
      </c>
      <c r="E11" s="7">
        <v>5</v>
      </c>
      <c r="F11" s="8">
        <v>60</v>
      </c>
      <c r="G11" s="9">
        <v>300</v>
      </c>
      <c r="H11" s="10" t="s">
        <v>279</v>
      </c>
    </row>
    <row r="12" ht="20" customHeight="1" spans="1:8">
      <c r="A12" s="11" t="s">
        <v>275</v>
      </c>
      <c r="B12" s="11" t="s">
        <v>288</v>
      </c>
      <c r="C12" s="12" t="s">
        <v>289</v>
      </c>
      <c r="D12" s="12" t="s">
        <v>290</v>
      </c>
      <c r="E12" s="13">
        <v>6</v>
      </c>
      <c r="F12" s="14">
        <v>129</v>
      </c>
      <c r="G12" s="15">
        <v>774</v>
      </c>
      <c r="H12" s="16" t="s">
        <v>291</v>
      </c>
    </row>
    <row r="13" ht="20" customHeight="1" spans="1:8">
      <c r="A13" s="5" t="s">
        <v>275</v>
      </c>
      <c r="B13" s="5" t="s">
        <v>292</v>
      </c>
      <c r="C13" s="6" t="s">
        <v>293</v>
      </c>
      <c r="D13" s="6" t="s">
        <v>290</v>
      </c>
      <c r="E13" s="7">
        <v>6</v>
      </c>
      <c r="F13" s="8">
        <v>39</v>
      </c>
      <c r="G13" s="9">
        <v>234</v>
      </c>
      <c r="H13" s="16" t="s">
        <v>291</v>
      </c>
    </row>
    <row r="14" ht="20" customHeight="1" spans="1:8">
      <c r="A14" s="11" t="s">
        <v>275</v>
      </c>
      <c r="B14" s="11" t="s">
        <v>294</v>
      </c>
      <c r="C14" s="12" t="s">
        <v>295</v>
      </c>
      <c r="D14" s="12" t="s">
        <v>296</v>
      </c>
      <c r="E14" s="13">
        <v>2</v>
      </c>
      <c r="F14" s="14">
        <v>49</v>
      </c>
      <c r="G14" s="15">
        <v>98</v>
      </c>
      <c r="H14" s="16" t="s">
        <v>291</v>
      </c>
    </row>
    <row r="15" ht="20" customHeight="1" spans="1:8">
      <c r="A15" s="5" t="s">
        <v>275</v>
      </c>
      <c r="B15" s="5" t="s">
        <v>297</v>
      </c>
      <c r="C15" s="6" t="s">
        <v>287</v>
      </c>
      <c r="D15" s="6" t="s">
        <v>278</v>
      </c>
      <c r="E15" s="7">
        <v>1</v>
      </c>
      <c r="F15" s="8">
        <v>60</v>
      </c>
      <c r="G15" s="9">
        <v>60</v>
      </c>
      <c r="H15" s="16" t="s">
        <v>291</v>
      </c>
    </row>
    <row r="16" ht="20" customHeight="1" spans="1:8">
      <c r="A16" s="11" t="s">
        <v>275</v>
      </c>
      <c r="B16" s="11" t="s">
        <v>298</v>
      </c>
      <c r="C16" s="12" t="s">
        <v>277</v>
      </c>
      <c r="D16" s="12" t="s">
        <v>278</v>
      </c>
      <c r="E16" s="13">
        <v>1</v>
      </c>
      <c r="F16" s="14">
        <v>95</v>
      </c>
      <c r="G16" s="15">
        <v>95</v>
      </c>
      <c r="H16" s="16" t="s">
        <v>291</v>
      </c>
    </row>
    <row r="17" ht="20" customHeight="1" spans="1:8">
      <c r="A17" s="5" t="s">
        <v>299</v>
      </c>
      <c r="B17" s="5" t="s">
        <v>300</v>
      </c>
      <c r="C17" s="6" t="s">
        <v>301</v>
      </c>
      <c r="D17" s="6" t="s">
        <v>290</v>
      </c>
      <c r="E17" s="7">
        <v>6</v>
      </c>
      <c r="F17" s="8">
        <v>129</v>
      </c>
      <c r="G17" s="9">
        <v>774</v>
      </c>
      <c r="H17" s="16" t="s">
        <v>291</v>
      </c>
    </row>
    <row r="18" ht="20" customHeight="1" spans="1:8">
      <c r="A18" s="11" t="s">
        <v>299</v>
      </c>
      <c r="B18" s="11" t="s">
        <v>302</v>
      </c>
      <c r="C18" s="12" t="s">
        <v>303</v>
      </c>
      <c r="D18" s="12" t="s">
        <v>304</v>
      </c>
      <c r="E18" s="13">
        <v>8</v>
      </c>
      <c r="F18" s="14">
        <v>40</v>
      </c>
      <c r="G18" s="15">
        <v>320</v>
      </c>
      <c r="H18" s="17" t="s">
        <v>305</v>
      </c>
    </row>
    <row r="19" ht="20" customHeight="1" spans="1:8">
      <c r="A19" s="5" t="s">
        <v>299</v>
      </c>
      <c r="B19" s="5" t="s">
        <v>306</v>
      </c>
      <c r="C19" s="6" t="s">
        <v>307</v>
      </c>
      <c r="D19" s="6" t="s">
        <v>290</v>
      </c>
      <c r="E19" s="7">
        <v>6</v>
      </c>
      <c r="F19" s="8">
        <v>129</v>
      </c>
      <c r="G19" s="9">
        <v>774</v>
      </c>
      <c r="H19" s="16" t="s">
        <v>291</v>
      </c>
    </row>
    <row r="20" ht="20" customHeight="1" spans="1:8">
      <c r="A20" s="11" t="s">
        <v>299</v>
      </c>
      <c r="B20" s="11" t="s">
        <v>308</v>
      </c>
      <c r="C20" s="12" t="s">
        <v>309</v>
      </c>
      <c r="D20" s="12" t="s">
        <v>278</v>
      </c>
      <c r="E20" s="13">
        <v>6</v>
      </c>
      <c r="F20" s="14">
        <v>45</v>
      </c>
      <c r="G20" s="15">
        <v>270</v>
      </c>
      <c r="H20" s="16" t="s">
        <v>291</v>
      </c>
    </row>
    <row r="21" ht="20" customHeight="1" spans="1:8">
      <c r="A21" s="5" t="s">
        <v>310</v>
      </c>
      <c r="B21" s="5" t="s">
        <v>311</v>
      </c>
      <c r="C21" s="6" t="s">
        <v>312</v>
      </c>
      <c r="D21" s="6" t="s">
        <v>290</v>
      </c>
      <c r="E21" s="7">
        <v>1</v>
      </c>
      <c r="F21" s="8">
        <v>39</v>
      </c>
      <c r="G21" s="9">
        <v>39</v>
      </c>
      <c r="H21" s="16" t="s">
        <v>291</v>
      </c>
    </row>
    <row r="22" ht="20" customHeight="1" spans="1:8">
      <c r="A22" s="11" t="s">
        <v>310</v>
      </c>
      <c r="B22" s="11" t="s">
        <v>313</v>
      </c>
      <c r="C22" s="12" t="s">
        <v>314</v>
      </c>
      <c r="D22" s="12" t="s">
        <v>278</v>
      </c>
      <c r="E22" s="13">
        <v>2</v>
      </c>
      <c r="F22" s="14">
        <v>129</v>
      </c>
      <c r="G22" s="15">
        <v>258</v>
      </c>
      <c r="H22" s="16" t="s">
        <v>291</v>
      </c>
    </row>
    <row r="23" ht="20" customHeight="1" spans="1:8">
      <c r="A23" s="5" t="s">
        <v>315</v>
      </c>
      <c r="B23" s="5" t="s">
        <v>316</v>
      </c>
      <c r="C23" s="6" t="s">
        <v>317</v>
      </c>
      <c r="D23" s="6" t="s">
        <v>278</v>
      </c>
      <c r="E23" s="7">
        <v>6</v>
      </c>
      <c r="F23" s="8">
        <v>69</v>
      </c>
      <c r="G23" s="9">
        <v>414</v>
      </c>
      <c r="H23" s="16" t="s">
        <v>291</v>
      </c>
    </row>
    <row r="24" ht="20" customHeight="1" spans="1:8">
      <c r="A24" s="11" t="s">
        <v>315</v>
      </c>
      <c r="B24" s="11" t="s">
        <v>318</v>
      </c>
      <c r="C24" s="12" t="s">
        <v>319</v>
      </c>
      <c r="D24" s="12" t="s">
        <v>296</v>
      </c>
      <c r="E24" s="13">
        <v>20</v>
      </c>
      <c r="F24" s="14">
        <v>49</v>
      </c>
      <c r="G24" s="15">
        <v>980</v>
      </c>
      <c r="H24" s="18" t="s">
        <v>320</v>
      </c>
    </row>
    <row r="25" ht="22" customHeight="1" spans="1:8">
      <c r="A25" s="19"/>
      <c r="B25" s="19"/>
      <c r="C25" s="20" t="s">
        <v>321</v>
      </c>
      <c r="D25" s="19"/>
      <c r="E25" s="21">
        <f>SUM(E7:E24)</f>
        <v>87</v>
      </c>
      <c r="F25" s="19"/>
      <c r="G25" s="22">
        <f>SUM(G7:G24)</f>
        <v>6507</v>
      </c>
      <c r="H25" s="19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📋 Complete Inventory Audit</vt:lpstr>
      <vt:lpstr>☕ Beverage Sales &amp; Variance</vt:lpstr>
      <vt:lpstr>Pull-Outs &amp; Wastage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2026-09-22T01:57:00Z</dcterms:created>
  <dcterms:modified xsi:type="dcterms:W3CDTF">2026-09-24T01:58:39Z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EBBC3A27AE4E4728B1380C718141EAA9_12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