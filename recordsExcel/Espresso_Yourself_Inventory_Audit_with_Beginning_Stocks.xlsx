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📋 Complete Inventory Audi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<sst xmlns="http://schemas.openxmlformats.org/spreadsheetml/2006/main" count="196" uniqueCount="148">
  <si>
    <t>ESPRESSO YOURSELF &amp; TEA HOUSE — COMPREHENSIVE INVENTORY RECONCILIATION</t>
  </si>
  <si>
    <t>SKU / Code</t>
  </si>
  <si>
    <t>Item Description &amp; Specifications</t>
  </si>
  <si>
    <t>UOM</t>
  </si>
  <si>
    <t>Unit Cost (₱)</t>
  </si>
  <si>
    <t>Beginning Stock
(Aug 8)</t>
  </si>
  <si>
    <t>Additional Stock
(Aug 13 - Sept 3)</t>
  </si>
  <si>
    <t>Total Available
Stock</t>
  </si>
  <si>
    <t>Sales</t>
  </si>
  <si>
    <t>Current</t>
  </si>
  <si>
    <t>📦  1. CUPS &amp; PACKAGING CONSUMABLES</t>
  </si>
  <si>
    <t>PKG-001</t>
  </si>
  <si>
    <t>Plastic Cup 16oz (Cold PET)</t>
  </si>
  <si>
    <t>pcs</t>
  </si>
  <si>
    <t>PKG-002</t>
  </si>
  <si>
    <t>Paper Cup 16oz (Hot Large)</t>
  </si>
  <si>
    <t>PKG-003</t>
  </si>
  <si>
    <t>Paper Cup 8oz (Hot Small)</t>
  </si>
  <si>
    <t>☕  2. COFFEE BEANS &amp; SPECIALTY ROASTS</t>
  </si>
  <si>
    <t>ING-001</t>
  </si>
  <si>
    <t>Concept Blend 1 (Espresso Beans)</t>
  </si>
  <si>
    <t>pack (1kg)</t>
  </si>
  <si>
    <t>ING-002</t>
  </si>
  <si>
    <t>Australia's Own / Artisanal Roast</t>
  </si>
  <si>
    <t>🍯  3. TORANI FLAVOR SYRUPS &amp; PURÉES</t>
  </si>
  <si>
    <t>TOR-001</t>
  </si>
  <si>
    <t>Torani Irish Cream Syrup 750ml</t>
  </si>
  <si>
    <t>bottle</t>
  </si>
  <si>
    <t>TOR-002</t>
  </si>
  <si>
    <t>Torani Salted Caramel Syrup 750ml</t>
  </si>
  <si>
    <t>TOR-003</t>
  </si>
  <si>
    <t>Torani White Chocolate Syrup 750ml</t>
  </si>
  <si>
    <t>TOR-004</t>
  </si>
  <si>
    <t>Torani French Vanilla Syrup 750ml</t>
  </si>
  <si>
    <t>TOR-005</t>
  </si>
  <si>
    <t>Torani Macadamia Nut Syrup 750ml</t>
  </si>
  <si>
    <t>TOR-006</t>
  </si>
  <si>
    <t>Torani Hazelnut Syrup 750ml</t>
  </si>
  <si>
    <t>TOR-007</t>
  </si>
  <si>
    <t>Torani Butterscotch Syrup 750ml</t>
  </si>
  <si>
    <t>TOR-008</t>
  </si>
  <si>
    <t>Torani Pomegranate Syrup 750ml</t>
  </si>
  <si>
    <t>TOR-009</t>
  </si>
  <si>
    <t>Torani Lychee Syrup 750ml</t>
  </si>
  <si>
    <t>TOR-010</t>
  </si>
  <si>
    <t>Torani Caramel Sauce / Syrup (Gallon)</t>
  </si>
  <si>
    <t>gallon</t>
  </si>
  <si>
    <t>TOR-011</t>
  </si>
  <si>
    <t>Torani Mango Purée Blend 1.89L</t>
  </si>
  <si>
    <t>TOR-012</t>
  </si>
  <si>
    <t>Torani Strawberry Purée Blend 1.89L</t>
  </si>
  <si>
    <t>✨  4. SHOTT NEW ZEALAND PREMIUM SYRUPS</t>
  </si>
  <si>
    <t>SHT-001</t>
  </si>
  <si>
    <t>SHOTT Pink Guava Syrup 1L</t>
  </si>
  <si>
    <t>bottle (1L)</t>
  </si>
  <si>
    <t>SHT-002</t>
  </si>
  <si>
    <t>SHOTT Irish Cream Syrup 1L</t>
  </si>
  <si>
    <t>SHT-003</t>
  </si>
  <si>
    <t>SHOTT Mango Syrup 1L</t>
  </si>
  <si>
    <t>SHT-004</t>
  </si>
  <si>
    <t>SHOTT Macadamia Syrup 1L</t>
  </si>
  <si>
    <t>SHT-005</t>
  </si>
  <si>
    <t>SHOTT Vanilla Syrup 1L</t>
  </si>
  <si>
    <t>SHT-006</t>
  </si>
  <si>
    <t>SHOTT Lychee Syrup 1L</t>
  </si>
  <si>
    <t>SHT-007</t>
  </si>
  <si>
    <t>SHOTT Pomegranate Syrup 1L</t>
  </si>
  <si>
    <t>🧈  5. CONDIMENTS, SPREADS &amp; MIXES</t>
  </si>
  <si>
    <t>MIX-001</t>
  </si>
  <si>
    <t>Biscoff Sauce Mix (In-House Prep)</t>
  </si>
  <si>
    <t>grams</t>
  </si>
  <si>
    <t>MIX-002</t>
  </si>
  <si>
    <t>Lotus Biscoff Spread Smooth 400g</t>
  </si>
  <si>
    <t>MIX-003</t>
  </si>
  <si>
    <t>Lotus Biscoff Biscuits (Garnish)</t>
  </si>
  <si>
    <t>MIX-004</t>
  </si>
  <si>
    <t>Sugar Syrup (Hi-Fructose 500ml)</t>
  </si>
  <si>
    <t>bottles</t>
  </si>
  <si>
    <t>MIX-005</t>
  </si>
  <si>
    <t>Caramel Mix (Bakersfield Caramel Fudge)</t>
  </si>
  <si>
    <t>MIX-006</t>
  </si>
  <si>
    <t>Doreen Condensed Milk 390g</t>
  </si>
  <si>
    <t>cans</t>
  </si>
  <si>
    <t>🍃  6. POWDERS &amp; BREWING TEA LEAVES</t>
  </si>
  <si>
    <t>POW-001</t>
  </si>
  <si>
    <t>Oreo Crushed Cookie Crumbs 454g</t>
  </si>
  <si>
    <t>POW-002</t>
  </si>
  <si>
    <t>Easy Cookies &amp; Cream Powder 1kg</t>
  </si>
  <si>
    <t>POW-003</t>
  </si>
  <si>
    <t>Matcha Powder (Pure / Culinary)</t>
  </si>
  <si>
    <t>POW-004</t>
  </si>
  <si>
    <t>Black Tea Leaves (Possmei Assam)</t>
  </si>
  <si>
    <t>POW-005</t>
  </si>
  <si>
    <t>Jasmine Green Tea Leaves (Possmei)</t>
  </si>
  <si>
    <t>POW-006</t>
  </si>
  <si>
    <t>Easy Dark Choco Powder Base 1kg</t>
  </si>
  <si>
    <t>POW-007</t>
  </si>
  <si>
    <t>Artisanal Salted Cream Cheese Powder</t>
  </si>
  <si>
    <t>🍵  7. DILMAH SPECIALTY TEA PACKS</t>
  </si>
  <si>
    <t>DLM-001</t>
  </si>
  <si>
    <t>Dilmah Pure Chamomile Flowers Tea</t>
  </si>
  <si>
    <t>sachets</t>
  </si>
  <si>
    <t>DLM-002</t>
  </si>
  <si>
    <t>Dilmah Earl Grey Tea</t>
  </si>
  <si>
    <t>DLM-003</t>
  </si>
  <si>
    <t>Dilmah Pure Peppermint Leaves Tea</t>
  </si>
  <si>
    <t>DLM-004</t>
  </si>
  <si>
    <t>Dilmah Gourmet Pure Green Tea</t>
  </si>
  <si>
    <t>DLM-005</t>
  </si>
  <si>
    <t>Dilmah Traditional Oolong Tea</t>
  </si>
  <si>
    <t>DLM-006</t>
  </si>
  <si>
    <t>Dilmah Green Tea with Jasmine</t>
  </si>
  <si>
    <t>🥨  8. GRAB-AND-GO RETAIL SNACKS</t>
  </si>
  <si>
    <t>SNK-001</t>
  </si>
  <si>
    <t>Pringles Cheddar Cheese 158g</t>
  </si>
  <si>
    <t>SNK-002</t>
  </si>
  <si>
    <t>Pringles Original 158g</t>
  </si>
  <si>
    <t>SNK-003</t>
  </si>
  <si>
    <t>Pringles Sour Cream &amp; Onion 158g</t>
  </si>
  <si>
    <t>SNK-004</t>
  </si>
  <si>
    <t>Cheetos Cheddar Jalapeño 226.8g</t>
  </si>
  <si>
    <t>packs</t>
  </si>
  <si>
    <t>SNK-005</t>
  </si>
  <si>
    <t>Butter Lover Popcorn Bags</t>
  </si>
  <si>
    <t>bags</t>
  </si>
  <si>
    <t>🥤  9. RETAIL DRINKS, WATER &amp; BEERS</t>
  </si>
  <si>
    <t>BEV-001</t>
  </si>
  <si>
    <t>Coca-Cola Zero Sugar 320ml Can</t>
  </si>
  <si>
    <t>BEV-002</t>
  </si>
  <si>
    <t>Coca-Cola Regular 320ml Can</t>
  </si>
  <si>
    <t>BEV-003</t>
  </si>
  <si>
    <t>Sprite Soda 320ml Can</t>
  </si>
  <si>
    <t>BEV-004</t>
  </si>
  <si>
    <t>Sprite 1.5L Bottle (Bar Mixer)</t>
  </si>
  <si>
    <t>BEV-005</t>
  </si>
  <si>
    <t>Nature Spring Mineral Water 500ml</t>
  </si>
  <si>
    <t>BEV-006</t>
  </si>
  <si>
    <t>Nature Spring Mineral Water 1L</t>
  </si>
  <si>
    <t>BEV-007</t>
  </si>
  <si>
    <t>Red Horse Stallion Beer 330ml</t>
  </si>
  <si>
    <t>BEV-008</t>
  </si>
  <si>
    <t>San Miguel Pale Pilsen 320ml</t>
  </si>
  <si>
    <t>BEV-009</t>
  </si>
  <si>
    <t>San Mig Light - Apple 330ml</t>
  </si>
  <si>
    <t>BEV-010</t>
  </si>
  <si>
    <t>Evian Natural Spring Water 500ml</t>
  </si>
  <si>
    <t>BEV-011</t>
  </si>
  <si>
    <t>Perrier Sparkling Mineral Water 330ml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</si>
</sst>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&quot;₱&quot;#,##0.00"/>
  </numFmts>
  <fonts count="28">
    <font>
      <sz val="11"/>
      <color theme="1"/>
      <name val="Calibri"/>
      <charset val="134"/>
      <scheme val="minor"/>
    </font>
    <font>
      <b/>
      <sz val="16"/>
      <color rgb="FFFFFFFF"/>
      <name val="Segoe UI"/>
      <charset val="134"/>
    </font>
    <font>
      <b/>
      <sz val="10"/>
      <color rgb="FFFFFFFF"/>
      <name val="Segoe UI"/>
      <charset val="134"/>
    </font>
    <font>
      <b/>
      <sz val="11"/>
      <color rgb="FFFFFFFF"/>
      <name val="Segoe UI"/>
      <charset val="134"/>
    </font>
    <font>
      <b/>
      <sz val="9"/>
      <color rgb="FF555555"/>
      <name val="Segoe UI"/>
      <charset val="134"/>
    </font>
    <font>
      <b/>
      <sz val="10"/>
      <color rgb="FF1F1F1F"/>
      <name val="Segoe UI"/>
      <charset val="134"/>
    </font>
    <font>
      <sz val="10"/>
      <color rgb="FF1F1F1F"/>
      <name val="Segoe UI"/>
      <charset val="134"/>
    </font>
    <font>
      <b/>
      <sz val="10"/>
      <color rgb="FF00000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2C1810"/>
        <bgColor rgb="FF2C1810"/>
      </patternFill>
    </fill>
    <fill>
      <patternFill patternType="solid">
        <fgColor rgb="FF3D2314"/>
        <bgColor rgb="FF3D2314"/>
      </patternFill>
    </fill>
    <fill>
      <patternFill patternType="solid">
        <fgColor rgb="FF4A3525"/>
        <bgColor rgb="FF4A3525"/>
      </patternFill>
    </fill>
    <fill>
      <patternFill patternType="solid">
        <fgColor rgb="FFFFFFFF"/>
        <bgColor rgb="FFFFFFFF"/>
      </patternFill>
    </fill>
    <fill>
      <patternFill patternType="solid">
        <fgColor rgb="FFFAF8F5"/>
        <bgColor rgb="FFFAF8F5"/>
      </patternFill>
    </fill>
    <fill>
      <patternFill patternType="solid">
        <fgColor rgb="FF6B3E26"/>
        <bgColor rgb="FF6B3E26"/>
      </patternFill>
    </fill>
    <fill>
      <patternFill patternType="solid">
        <fgColor rgb="FF1A4870"/>
        <bgColor rgb="FF1A4870"/>
      </patternFill>
    </fill>
    <fill>
      <patternFill patternType="solid">
        <fgColor rgb="FF7A5210"/>
        <bgColor rgb="FF7A5210"/>
      </patternFill>
    </fill>
    <fill>
      <patternFill patternType="solid">
        <fgColor rgb="FF2D5A27"/>
        <bgColor rgb="FF2D5A27"/>
      </patternFill>
    </fill>
    <fill>
      <patternFill patternType="solid">
        <fgColor rgb="FF1B4D3E"/>
        <bgColor rgb="FF1B4D3E"/>
      </patternFill>
    </fill>
    <fill>
      <patternFill patternType="solid">
        <fgColor rgb="FF7A3E26"/>
        <bgColor rgb="FF7A3E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2C1810"/>
      </top>
      <bottom style="medium">
        <color rgb="FF2C18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0" fillId="1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176" fontId="6" fillId="5" borderId="2" xfId="0" applyNumberFormat="1" applyFont="1" applyFill="1" applyBorder="1" applyAlignment="1">
      <alignment horizontal="right" vertical="center"/>
    </xf>
    <xf numFmtId="3" fontId="6" fillId="5" borderId="2" xfId="0" applyNumberFormat="1" applyFont="1" applyFill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3" fontId="7" fillId="5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right" vertical="center"/>
    </xf>
    <xf numFmtId="3" fontId="6" fillId="6" borderId="2" xfId="0" applyNumberFormat="1" applyFont="1" applyFill="1" applyBorder="1" applyAlignment="1">
      <alignment horizontal="right" vertical="center"/>
    </xf>
    <xf numFmtId="3" fontId="5" fillId="6" borderId="2" xfId="0" applyNumberFormat="1" applyFont="1" applyFill="1" applyBorder="1" applyAlignment="1">
      <alignment horizontal="right" vertical="center"/>
    </xf>
    <xf numFmtId="3" fontId="7" fillId="6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4" fontId="5" fillId="6" borderId="2" xfId="0" applyNumberFormat="1" applyFont="1" applyFill="1" applyBorder="1" applyAlignment="1">
      <alignment horizontal="right" vertical="center"/>
    </xf>
    <xf numFmtId="4" fontId="5" fillId="5" borderId="2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2" fontId="7" fillId="6" borderId="2" xfId="0" applyNumberFormat="1" applyFont="1" applyFill="1" applyBorder="1" applyAlignment="1">
      <alignment horizontal="right" vertical="center"/>
    </xf>
    <xf numFmtId="2" fontId="7" fillId="5" borderId="2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tabSelected="1" zoomScale="50" zoomScaleNormal="50" workbookViewId="0">
      <pane ySplit="3" topLeftCell="A44" activePane="bottomLeft" state="frozen"/>
      <selection/>
      <selection pane="bottomLeft" activeCell="I50" sqref="I50"/>
    </sheetView>
  </sheetViews>
  <sheetFormatPr defaultColWidth="9" defaultRowHeight="14.5"/>
  <cols>
    <col min="1" max="1" width="11" customWidth="1"/>
    <col min="2" max="2" width="34" customWidth="1"/>
    <col min="3" max="3" width="11" customWidth="1"/>
    <col min="4" max="4" width="13" customWidth="1"/>
    <col min="5" max="5" width="15" customWidth="1"/>
    <col min="6" max="6" width="16" customWidth="1"/>
    <col min="7" max="7" width="15" customWidth="1"/>
    <col min="8" max="9" width="17" customWidth="1"/>
  </cols>
  <sheetData>
    <row r="1" ht="36" customHeight="1" spans="1:9">
      <c r="A1" s="1" t="s">
        <v>0</v>
      </c>
    </row>
    <row r="3" ht="32" customHeight="1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24" customHeight="1" spans="1:9">
      <c r="A4" s="3" t="s">
        <v>10</v>
      </c>
    </row>
    <row r="5" ht="22" customHeight="1" spans="1:9">
      <c r="A5" s="4" t="s">
        <v>11</v>
      </c>
      <c r="B5" s="5" t="s">
        <v>12</v>
      </c>
      <c r="C5" s="6" t="s">
        <v>13</v>
      </c>
      <c r="D5" s="7">
        <v>2.8</v>
      </c>
      <c r="E5" s="8">
        <v>300</v>
      </c>
      <c r="F5" s="8">
        <v>500</v>
      </c>
      <c r="G5" s="9">
        <f>E5+F5</f>
        <v>800</v>
      </c>
      <c r="H5" s="10">
        <f>G5-I5</f>
        <v>91</v>
      </c>
      <c r="I5" s="10">
        <v>709</v>
      </c>
    </row>
    <row r="6" ht="22" customHeight="1" spans="1:9">
      <c r="A6" s="11" t="s">
        <v>14</v>
      </c>
      <c r="B6" s="12" t="s">
        <v>15</v>
      </c>
      <c r="C6" s="13" t="s">
        <v>13</v>
      </c>
      <c r="D6" s="14">
        <v>2.8</v>
      </c>
      <c r="E6" s="15">
        <v>300</v>
      </c>
      <c r="F6" s="15">
        <v>400</v>
      </c>
      <c r="G6" s="16">
        <f>E6+F6</f>
        <v>700</v>
      </c>
      <c r="H6" s="10">
        <f>G6-I6</f>
        <v>74</v>
      </c>
      <c r="I6" s="17">
        <v>626</v>
      </c>
    </row>
    <row r="7" ht="22" customHeight="1" spans="1:9">
      <c r="A7" s="4" t="s">
        <v>16</v>
      </c>
      <c r="B7" s="5" t="s">
        <v>17</v>
      </c>
      <c r="C7" s="6" t="s">
        <v>13</v>
      </c>
      <c r="D7" s="7">
        <v>2.4</v>
      </c>
      <c r="E7" s="8">
        <v>250</v>
      </c>
      <c r="F7" s="8">
        <v>750</v>
      </c>
      <c r="G7" s="9">
        <f>E7+F7</f>
        <v>1000</v>
      </c>
      <c r="H7" s="10">
        <f>G7-I7</f>
        <v>75</v>
      </c>
      <c r="I7" s="10">
        <v>925</v>
      </c>
    </row>
    <row r="8" ht="24" customHeight="1" spans="1:9">
      <c r="A8" s="18" t="s">
        <v>18</v>
      </c>
    </row>
    <row r="9" ht="22" customHeight="1" spans="1:9">
      <c r="A9" s="11" t="s">
        <v>19</v>
      </c>
      <c r="B9" s="12" t="s">
        <v>20</v>
      </c>
      <c r="C9" s="13" t="s">
        <v>21</v>
      </c>
      <c r="D9" s="14">
        <v>980</v>
      </c>
      <c r="E9" s="15">
        <v>10</v>
      </c>
      <c r="F9" s="15">
        <v>0</v>
      </c>
      <c r="G9" s="19">
        <f>E9+F9</f>
        <v>10</v>
      </c>
      <c r="H9" s="17">
        <f>G9-I9</f>
        <v>7</v>
      </c>
      <c r="I9" s="17">
        <v>3</v>
      </c>
    </row>
    <row r="10" ht="22" customHeight="1" spans="1:9">
      <c r="A10" s="4" t="s">
        <v>22</v>
      </c>
      <c r="B10" s="5" t="s">
        <v>23</v>
      </c>
      <c r="C10" s="6" t="s">
        <v>21</v>
      </c>
      <c r="D10" s="7">
        <v>204</v>
      </c>
      <c r="E10" s="8">
        <v>0</v>
      </c>
      <c r="F10" s="8">
        <v>1</v>
      </c>
      <c r="G10" s="20">
        <f>E10+F10</f>
        <v>1</v>
      </c>
      <c r="H10" s="17">
        <f>G10-I10</f>
        <v>0</v>
      </c>
      <c r="I10" s="10">
        <v>1</v>
      </c>
    </row>
    <row r="11" ht="24" customHeight="1" spans="1:9">
      <c r="A11" s="21" t="s">
        <v>24</v>
      </c>
    </row>
    <row r="12" ht="22" customHeight="1" spans="1:9">
      <c r="A12" s="11" t="s">
        <v>25</v>
      </c>
      <c r="B12" s="12" t="s">
        <v>26</v>
      </c>
      <c r="C12" s="13" t="s">
        <v>27</v>
      </c>
      <c r="D12" s="14">
        <v>550</v>
      </c>
      <c r="E12" s="15">
        <v>0</v>
      </c>
      <c r="F12" s="15">
        <v>1</v>
      </c>
      <c r="G12" s="19">
        <f t="shared" ref="G12:G24" si="0">E12+F12</f>
        <v>1</v>
      </c>
      <c r="H12" s="17">
        <f>G12-I12</f>
        <v>0</v>
      </c>
      <c r="I12" s="17">
        <v>1</v>
      </c>
    </row>
    <row r="13" ht="22" customHeight="1" spans="1:9">
      <c r="A13" s="4" t="s">
        <v>28</v>
      </c>
      <c r="B13" s="5" t="s">
        <v>29</v>
      </c>
      <c r="C13" s="6" t="s">
        <v>27</v>
      </c>
      <c r="D13" s="7">
        <v>550</v>
      </c>
      <c r="E13" s="8">
        <v>0</v>
      </c>
      <c r="F13" s="8">
        <v>1</v>
      </c>
      <c r="G13" s="20">
        <f t="shared" si="0"/>
        <v>1</v>
      </c>
      <c r="H13" s="17">
        <f t="shared" ref="H13:H23" si="1">G13-I13</f>
        <v>0</v>
      </c>
      <c r="I13" s="10">
        <v>1</v>
      </c>
    </row>
    <row r="14" ht="22" customHeight="1" spans="1:9">
      <c r="A14" s="11" t="s">
        <v>30</v>
      </c>
      <c r="B14" s="12" t="s">
        <v>31</v>
      </c>
      <c r="C14" s="13" t="s">
        <v>27</v>
      </c>
      <c r="D14" s="14">
        <v>550</v>
      </c>
      <c r="E14" s="15">
        <v>0</v>
      </c>
      <c r="F14" s="15">
        <v>1</v>
      </c>
      <c r="G14" s="19">
        <f t="shared" si="0"/>
        <v>1</v>
      </c>
      <c r="H14" s="17">
        <f t="shared" si="1"/>
        <v>0</v>
      </c>
      <c r="I14" s="17">
        <v>1</v>
      </c>
    </row>
    <row r="15" ht="22" customHeight="1" spans="1:9">
      <c r="A15" s="4" t="s">
        <v>32</v>
      </c>
      <c r="B15" s="5" t="s">
        <v>33</v>
      </c>
      <c r="C15" s="6" t="s">
        <v>27</v>
      </c>
      <c r="D15" s="7">
        <v>550</v>
      </c>
      <c r="E15" s="8">
        <v>0</v>
      </c>
      <c r="F15" s="8">
        <v>1</v>
      </c>
      <c r="G15" s="20">
        <f t="shared" si="0"/>
        <v>1</v>
      </c>
      <c r="H15" s="17">
        <f t="shared" si="1"/>
        <v>0</v>
      </c>
      <c r="I15" s="10">
        <v>1</v>
      </c>
    </row>
    <row r="16" ht="22" customHeight="1" spans="1:9">
      <c r="A16" s="11" t="s">
        <v>34</v>
      </c>
      <c r="B16" s="12" t="s">
        <v>35</v>
      </c>
      <c r="C16" s="13" t="s">
        <v>27</v>
      </c>
      <c r="D16" s="14">
        <v>550</v>
      </c>
      <c r="E16" s="15">
        <v>0</v>
      </c>
      <c r="F16" s="15">
        <v>1</v>
      </c>
      <c r="G16" s="19">
        <f t="shared" si="0"/>
        <v>1</v>
      </c>
      <c r="H16" s="17">
        <f t="shared" si="1"/>
        <v>0</v>
      </c>
      <c r="I16" s="17">
        <v>1</v>
      </c>
    </row>
    <row r="17" ht="22" customHeight="1" spans="1:9">
      <c r="A17" s="4" t="s">
        <v>36</v>
      </c>
      <c r="B17" s="5" t="s">
        <v>37</v>
      </c>
      <c r="C17" s="6" t="s">
        <v>27</v>
      </c>
      <c r="D17" s="7">
        <v>550</v>
      </c>
      <c r="E17" s="8">
        <v>0</v>
      </c>
      <c r="F17" s="8">
        <v>1</v>
      </c>
      <c r="G17" s="20">
        <f t="shared" si="0"/>
        <v>1</v>
      </c>
      <c r="H17" s="17">
        <f t="shared" si="1"/>
        <v>0</v>
      </c>
      <c r="I17" s="10">
        <v>1</v>
      </c>
    </row>
    <row r="18" ht="22" customHeight="1" spans="1:9">
      <c r="A18" s="11" t="s">
        <v>38</v>
      </c>
      <c r="B18" s="12" t="s">
        <v>39</v>
      </c>
      <c r="C18" s="13" t="s">
        <v>27</v>
      </c>
      <c r="D18" s="14">
        <v>550</v>
      </c>
      <c r="E18" s="15">
        <v>0</v>
      </c>
      <c r="F18" s="15">
        <v>1</v>
      </c>
      <c r="G18" s="19">
        <f t="shared" si="0"/>
        <v>1</v>
      </c>
      <c r="H18" s="17">
        <f t="shared" si="1"/>
        <v>0</v>
      </c>
      <c r="I18" s="17">
        <v>1</v>
      </c>
    </row>
    <row r="19" ht="22" customHeight="1" spans="1:9">
      <c r="A19" s="4" t="s">
        <v>40</v>
      </c>
      <c r="B19" s="5" t="s">
        <v>41</v>
      </c>
      <c r="C19" s="6" t="s">
        <v>27</v>
      </c>
      <c r="D19" s="7">
        <v>550</v>
      </c>
      <c r="E19" s="8">
        <v>0</v>
      </c>
      <c r="F19" s="8">
        <v>1</v>
      </c>
      <c r="G19" s="20">
        <f t="shared" si="0"/>
        <v>1</v>
      </c>
      <c r="H19" s="17">
        <f t="shared" si="1"/>
        <v>0</v>
      </c>
      <c r="I19" s="10">
        <v>1</v>
      </c>
    </row>
    <row r="20" ht="22" customHeight="1" spans="1:9">
      <c r="A20" s="11" t="s">
        <v>42</v>
      </c>
      <c r="B20" s="12" t="s">
        <v>43</v>
      </c>
      <c r="C20" s="13" t="s">
        <v>27</v>
      </c>
      <c r="D20" s="14">
        <v>550</v>
      </c>
      <c r="E20" s="15">
        <v>0</v>
      </c>
      <c r="F20" s="15">
        <v>1</v>
      </c>
      <c r="G20" s="19">
        <f t="shared" si="0"/>
        <v>1</v>
      </c>
      <c r="H20" s="17">
        <f t="shared" si="1"/>
        <v>0</v>
      </c>
      <c r="I20" s="17">
        <v>1</v>
      </c>
    </row>
    <row r="21" ht="22" customHeight="1" spans="1:9">
      <c r="A21" s="4" t="s">
        <v>44</v>
      </c>
      <c r="B21" s="5" t="s">
        <v>45</v>
      </c>
      <c r="C21" s="6" t="s">
        <v>46</v>
      </c>
      <c r="D21" s="7">
        <v>950</v>
      </c>
      <c r="E21" s="8">
        <v>0</v>
      </c>
      <c r="F21" s="8">
        <v>1</v>
      </c>
      <c r="G21" s="20">
        <f t="shared" si="0"/>
        <v>1</v>
      </c>
      <c r="H21" s="17">
        <f t="shared" si="1"/>
        <v>0</v>
      </c>
      <c r="I21" s="10">
        <v>1</v>
      </c>
    </row>
    <row r="22" ht="22" customHeight="1" spans="1:9">
      <c r="A22" s="11" t="s">
        <v>47</v>
      </c>
      <c r="B22" s="12" t="s">
        <v>48</v>
      </c>
      <c r="C22" s="13" t="s">
        <v>46</v>
      </c>
      <c r="D22" s="14">
        <v>950</v>
      </c>
      <c r="E22" s="15">
        <v>0</v>
      </c>
      <c r="F22" s="15">
        <v>1</v>
      </c>
      <c r="G22" s="19">
        <f t="shared" si="0"/>
        <v>1</v>
      </c>
      <c r="H22" s="17">
        <f t="shared" si="1"/>
        <v>0</v>
      </c>
      <c r="I22" s="17">
        <v>1</v>
      </c>
    </row>
    <row r="23" ht="22" customHeight="1" spans="1:9">
      <c r="A23" s="4" t="s">
        <v>49</v>
      </c>
      <c r="B23" s="5" t="s">
        <v>50</v>
      </c>
      <c r="C23" s="6" t="s">
        <v>46</v>
      </c>
      <c r="D23" s="7">
        <v>950</v>
      </c>
      <c r="E23" s="8">
        <v>0</v>
      </c>
      <c r="F23" s="8">
        <v>1</v>
      </c>
      <c r="G23" s="20">
        <f t="shared" si="0"/>
        <v>1</v>
      </c>
      <c r="H23" s="17">
        <f t="shared" si="1"/>
        <v>0</v>
      </c>
      <c r="I23" s="10">
        <v>1</v>
      </c>
    </row>
    <row r="24" ht="24" customHeight="1" spans="1:9">
      <c r="A24" s="22" t="s">
        <v>51</v>
      </c>
    </row>
    <row r="25" ht="22" customHeight="1" spans="1:9">
      <c r="A25" s="11" t="s">
        <v>52</v>
      </c>
      <c r="B25" s="12" t="s">
        <v>53</v>
      </c>
      <c r="C25" s="13" t="s">
        <v>54</v>
      </c>
      <c r="D25" s="14">
        <v>890</v>
      </c>
      <c r="E25" s="15">
        <v>1</v>
      </c>
      <c r="F25" s="15">
        <v>0</v>
      </c>
      <c r="G25" s="19">
        <f t="shared" ref="G25:G32" si="2">E25+F25</f>
        <v>1</v>
      </c>
      <c r="H25" s="17">
        <f>G25-I25</f>
        <v>1</v>
      </c>
      <c r="I25" s="17">
        <v>0</v>
      </c>
    </row>
    <row r="26" ht="22" customHeight="1" spans="1:9">
      <c r="A26" s="4" t="s">
        <v>55</v>
      </c>
      <c r="B26" s="5" t="s">
        <v>56</v>
      </c>
      <c r="C26" s="6" t="s">
        <v>54</v>
      </c>
      <c r="D26" s="7">
        <v>690</v>
      </c>
      <c r="E26" s="8">
        <v>1</v>
      </c>
      <c r="F26" s="8">
        <v>0</v>
      </c>
      <c r="G26" s="20">
        <f t="shared" si="2"/>
        <v>1</v>
      </c>
      <c r="H26" s="17">
        <f t="shared" ref="H26:H31" si="3">G26-I26</f>
        <v>0</v>
      </c>
      <c r="I26" s="10">
        <v>1</v>
      </c>
    </row>
    <row r="27" ht="22" customHeight="1" spans="1:9">
      <c r="A27" s="11" t="s">
        <v>57</v>
      </c>
      <c r="B27" s="12" t="s">
        <v>58</v>
      </c>
      <c r="C27" s="13" t="s">
        <v>54</v>
      </c>
      <c r="D27" s="14">
        <v>890</v>
      </c>
      <c r="E27" s="15">
        <v>1</v>
      </c>
      <c r="F27" s="15">
        <v>0</v>
      </c>
      <c r="G27" s="19">
        <f t="shared" si="2"/>
        <v>1</v>
      </c>
      <c r="H27" s="17">
        <f t="shared" si="3"/>
        <v>0.79</v>
      </c>
      <c r="I27" s="23">
        <v>0.21</v>
      </c>
    </row>
    <row r="28" ht="22" customHeight="1" spans="1:9">
      <c r="A28" s="4" t="s">
        <v>59</v>
      </c>
      <c r="B28" s="5" t="s">
        <v>60</v>
      </c>
      <c r="C28" s="6" t="s">
        <v>54</v>
      </c>
      <c r="D28" s="7">
        <v>690</v>
      </c>
      <c r="E28" s="8">
        <v>1</v>
      </c>
      <c r="F28" s="8">
        <v>0</v>
      </c>
      <c r="G28" s="20">
        <f t="shared" si="2"/>
        <v>1</v>
      </c>
      <c r="H28" s="17">
        <f t="shared" si="3"/>
        <v>0.1</v>
      </c>
      <c r="I28" s="24">
        <v>0.9</v>
      </c>
    </row>
    <row r="29" ht="22" customHeight="1" spans="1:9">
      <c r="A29" s="11" t="s">
        <v>61</v>
      </c>
      <c r="B29" s="12" t="s">
        <v>62</v>
      </c>
      <c r="C29" s="13" t="s">
        <v>54</v>
      </c>
      <c r="D29" s="14">
        <v>690</v>
      </c>
      <c r="E29" s="15">
        <v>1</v>
      </c>
      <c r="F29" s="15">
        <v>0</v>
      </c>
      <c r="G29" s="19">
        <f t="shared" si="2"/>
        <v>1</v>
      </c>
      <c r="H29" s="17">
        <f t="shared" si="3"/>
        <v>0</v>
      </c>
      <c r="I29" s="17">
        <v>1</v>
      </c>
    </row>
    <row r="30" ht="22" customHeight="1" spans="1:9">
      <c r="A30" s="4" t="s">
        <v>63</v>
      </c>
      <c r="B30" s="5" t="s">
        <v>64</v>
      </c>
      <c r="C30" s="6" t="s">
        <v>54</v>
      </c>
      <c r="D30" s="7">
        <v>690</v>
      </c>
      <c r="E30" s="8">
        <v>1</v>
      </c>
      <c r="F30" s="8">
        <v>0</v>
      </c>
      <c r="G30" s="20">
        <f t="shared" si="2"/>
        <v>1</v>
      </c>
      <c r="H30" s="17">
        <f t="shared" si="3"/>
        <v>0.1</v>
      </c>
      <c r="I30" s="24">
        <v>0.9</v>
      </c>
    </row>
    <row r="31" ht="22" customHeight="1" spans="1:9">
      <c r="A31" s="11" t="s">
        <v>65</v>
      </c>
      <c r="B31" s="12" t="s">
        <v>66</v>
      </c>
      <c r="C31" s="13" t="s">
        <v>54</v>
      </c>
      <c r="D31" s="14">
        <v>890</v>
      </c>
      <c r="E31" s="15">
        <v>1</v>
      </c>
      <c r="F31" s="15">
        <v>0</v>
      </c>
      <c r="G31" s="19">
        <f t="shared" si="2"/>
        <v>1</v>
      </c>
      <c r="H31" s="17">
        <f t="shared" si="3"/>
        <v>0.75</v>
      </c>
      <c r="I31" s="23">
        <v>0.25</v>
      </c>
    </row>
    <row r="32" ht="24" customHeight="1" spans="1:9">
      <c r="A32" s="25" t="s">
        <v>67</v>
      </c>
    </row>
    <row r="33" ht="22" customHeight="1" spans="1:9">
      <c r="A33" s="4" t="s">
        <v>68</v>
      </c>
      <c r="B33" s="5" t="s">
        <v>69</v>
      </c>
      <c r="C33" s="6" t="s">
        <v>70</v>
      </c>
      <c r="D33" s="7">
        <v>0.86</v>
      </c>
      <c r="E33" s="8">
        <v>0</v>
      </c>
      <c r="F33" s="8">
        <v>250</v>
      </c>
      <c r="G33" s="20">
        <f t="shared" ref="G33:G39" si="4">E33+F33</f>
        <v>250</v>
      </c>
      <c r="H33" s="10">
        <f>G33-I33</f>
        <v>37</v>
      </c>
      <c r="I33" s="10">
        <v>213</v>
      </c>
    </row>
    <row r="34" ht="22" customHeight="1" spans="1:9">
      <c r="A34" s="11" t="s">
        <v>71</v>
      </c>
      <c r="B34" s="12" t="s">
        <v>72</v>
      </c>
      <c r="C34" s="13" t="s">
        <v>70</v>
      </c>
      <c r="D34" s="14">
        <v>0.86</v>
      </c>
      <c r="E34" s="15">
        <v>0</v>
      </c>
      <c r="F34" s="15">
        <v>400</v>
      </c>
      <c r="G34" s="19">
        <f t="shared" si="4"/>
        <v>400</v>
      </c>
      <c r="H34" s="10">
        <f>G34-I34</f>
        <v>199</v>
      </c>
      <c r="I34" s="17">
        <v>201</v>
      </c>
    </row>
    <row r="35" ht="22" customHeight="1" spans="1:9">
      <c r="A35" s="4" t="s">
        <v>73</v>
      </c>
      <c r="B35" s="5" t="s">
        <v>74</v>
      </c>
      <c r="C35" s="6" t="s">
        <v>13</v>
      </c>
      <c r="D35" s="7">
        <v>6</v>
      </c>
      <c r="E35" s="8">
        <v>0</v>
      </c>
      <c r="F35" s="8">
        <v>32</v>
      </c>
      <c r="G35" s="20">
        <f t="shared" si="4"/>
        <v>32</v>
      </c>
      <c r="H35" s="10">
        <f>G35-I35</f>
        <v>19</v>
      </c>
      <c r="I35" s="10">
        <v>13</v>
      </c>
    </row>
    <row r="36" ht="22" customHeight="1" spans="1:9">
      <c r="A36" s="11" t="s">
        <v>75</v>
      </c>
      <c r="B36" s="12" t="s">
        <v>76</v>
      </c>
      <c r="C36" s="13" t="s">
        <v>77</v>
      </c>
      <c r="D36" s="14">
        <v>94</v>
      </c>
      <c r="E36" s="15">
        <v>1</v>
      </c>
      <c r="F36" s="15">
        <v>10</v>
      </c>
      <c r="G36" s="19">
        <f t="shared" si="4"/>
        <v>11</v>
      </c>
      <c r="H36" s="10">
        <f>G36-I36</f>
        <v>8</v>
      </c>
      <c r="I36" s="17">
        <v>3</v>
      </c>
    </row>
    <row r="37" ht="22" customHeight="1" spans="1:9">
      <c r="A37" s="4" t="s">
        <v>78</v>
      </c>
      <c r="B37" s="5" t="s">
        <v>79</v>
      </c>
      <c r="C37" s="6" t="s">
        <v>70</v>
      </c>
      <c r="D37" s="7">
        <v>0.415</v>
      </c>
      <c r="E37" s="8">
        <v>0</v>
      </c>
      <c r="F37" s="8">
        <v>1000</v>
      </c>
      <c r="G37" s="20">
        <f t="shared" si="4"/>
        <v>1000</v>
      </c>
      <c r="H37" s="10">
        <f>G37-I37</f>
        <v>250.4</v>
      </c>
      <c r="I37" s="24">
        <v>749.6</v>
      </c>
    </row>
    <row r="38" ht="22" customHeight="1" spans="1:9">
      <c r="A38" s="11" t="s">
        <v>80</v>
      </c>
      <c r="B38" s="12" t="s">
        <v>81</v>
      </c>
      <c r="C38" s="13" t="s">
        <v>82</v>
      </c>
      <c r="D38" s="14">
        <v>44</v>
      </c>
      <c r="E38" s="15">
        <v>24</v>
      </c>
      <c r="F38" s="15">
        <v>0</v>
      </c>
      <c r="G38" s="19">
        <f t="shared" si="4"/>
        <v>24</v>
      </c>
      <c r="H38" s="10">
        <f>G38-I38</f>
        <v>11.47</v>
      </c>
      <c r="I38" s="23">
        <v>12.53</v>
      </c>
    </row>
    <row r="39" ht="24" customHeight="1" spans="1:9">
      <c r="A39" s="26" t="s">
        <v>83</v>
      </c>
    </row>
    <row r="40" ht="22" customHeight="1" spans="1:9">
      <c r="A40" s="4" t="s">
        <v>84</v>
      </c>
      <c r="B40" s="5" t="s">
        <v>85</v>
      </c>
      <c r="C40" s="6" t="s">
        <v>70</v>
      </c>
      <c r="D40" s="7">
        <v>0.385</v>
      </c>
      <c r="E40" s="8">
        <v>0</v>
      </c>
      <c r="F40" s="8">
        <v>454</v>
      </c>
      <c r="G40" s="20">
        <f t="shared" ref="G40:G47" si="5">E40+F40</f>
        <v>454</v>
      </c>
      <c r="H40" s="10">
        <f>G40-I40</f>
        <v>158</v>
      </c>
      <c r="I40" s="10">
        <v>296</v>
      </c>
    </row>
    <row r="41" ht="22" customHeight="1" spans="1:9">
      <c r="A41" s="11" t="s">
        <v>86</v>
      </c>
      <c r="B41" s="12" t="s">
        <v>87</v>
      </c>
      <c r="C41" s="13" t="s">
        <v>70</v>
      </c>
      <c r="D41" s="14">
        <v>0.305</v>
      </c>
      <c r="E41" s="15">
        <v>0</v>
      </c>
      <c r="F41" s="15">
        <v>1000</v>
      </c>
      <c r="G41" s="19">
        <f t="shared" si="5"/>
        <v>1000</v>
      </c>
      <c r="H41" s="10">
        <f t="shared" ref="H41:H46" si="6">G41-I41</f>
        <v>103</v>
      </c>
      <c r="I41" s="17">
        <v>897</v>
      </c>
    </row>
    <row r="42" ht="22" customHeight="1" spans="1:9">
      <c r="A42" s="4" t="s">
        <v>88</v>
      </c>
      <c r="B42" s="5" t="s">
        <v>89</v>
      </c>
      <c r="C42" s="6" t="s">
        <v>70</v>
      </c>
      <c r="D42" s="7">
        <v>1.2</v>
      </c>
      <c r="E42" s="8">
        <v>0</v>
      </c>
      <c r="F42" s="8">
        <v>300</v>
      </c>
      <c r="G42" s="20">
        <f t="shared" si="5"/>
        <v>300</v>
      </c>
      <c r="H42" s="10">
        <f t="shared" si="6"/>
        <v>199</v>
      </c>
      <c r="I42" s="10">
        <v>101</v>
      </c>
    </row>
    <row r="43" ht="22" customHeight="1" spans="1:9">
      <c r="A43" s="11" t="s">
        <v>90</v>
      </c>
      <c r="B43" s="12" t="s">
        <v>91</v>
      </c>
      <c r="C43" s="13" t="s">
        <v>70</v>
      </c>
      <c r="D43" s="14">
        <v>0.733</v>
      </c>
      <c r="E43" s="15">
        <v>0</v>
      </c>
      <c r="F43" s="15">
        <v>600</v>
      </c>
      <c r="G43" s="19">
        <f t="shared" si="5"/>
        <v>600</v>
      </c>
      <c r="H43" s="10">
        <f t="shared" si="6"/>
        <v>-98</v>
      </c>
      <c r="I43" s="17">
        <v>698</v>
      </c>
    </row>
    <row r="44" ht="22" customHeight="1" spans="1:9">
      <c r="A44" s="4" t="s">
        <v>92</v>
      </c>
      <c r="B44" s="5" t="s">
        <v>93</v>
      </c>
      <c r="C44" s="6" t="s">
        <v>70</v>
      </c>
      <c r="D44" s="7">
        <v>1.28</v>
      </c>
      <c r="E44" s="8">
        <v>0</v>
      </c>
      <c r="F44" s="8">
        <v>600</v>
      </c>
      <c r="G44" s="20">
        <f t="shared" si="5"/>
        <v>600</v>
      </c>
      <c r="H44" s="10">
        <f t="shared" si="6"/>
        <v>3</v>
      </c>
      <c r="I44" s="10">
        <v>597</v>
      </c>
    </row>
    <row r="45" ht="22" customHeight="1" spans="1:9">
      <c r="A45" s="11" t="s">
        <v>94</v>
      </c>
      <c r="B45" s="12" t="s">
        <v>95</v>
      </c>
      <c r="C45" s="13" t="s">
        <v>70</v>
      </c>
      <c r="D45" s="14">
        <v>0.396</v>
      </c>
      <c r="E45" s="15">
        <v>1000</v>
      </c>
      <c r="F45" s="15">
        <v>1000</v>
      </c>
      <c r="G45" s="19">
        <f t="shared" si="5"/>
        <v>2000</v>
      </c>
      <c r="H45" s="10">
        <f t="shared" si="6"/>
        <v>388</v>
      </c>
      <c r="I45" s="17">
        <v>1612</v>
      </c>
    </row>
    <row r="46" ht="22" customHeight="1" spans="1:9">
      <c r="A46" s="4" t="s">
        <v>96</v>
      </c>
      <c r="B46" s="5" t="s">
        <v>97</v>
      </c>
      <c r="C46" s="6" t="s">
        <v>70</v>
      </c>
      <c r="D46" s="7">
        <v>0.4</v>
      </c>
      <c r="E46" s="8">
        <v>0</v>
      </c>
      <c r="F46" s="8">
        <v>1000</v>
      </c>
      <c r="G46" s="20">
        <f t="shared" si="5"/>
        <v>1000</v>
      </c>
      <c r="H46" s="10">
        <f t="shared" si="6"/>
        <v>552</v>
      </c>
      <c r="I46" s="10">
        <v>448</v>
      </c>
    </row>
    <row r="47" ht="24" customHeight="1" spans="1:9">
      <c r="A47" s="27" t="s">
        <v>98</v>
      </c>
    </row>
    <row r="48" ht="22" customHeight="1" spans="1:9">
      <c r="A48" s="11" t="s">
        <v>99</v>
      </c>
      <c r="B48" s="12" t="s">
        <v>100</v>
      </c>
      <c r="C48" s="13" t="s">
        <v>101</v>
      </c>
      <c r="D48" s="14">
        <v>45</v>
      </c>
      <c r="E48" s="15">
        <v>0</v>
      </c>
      <c r="F48" s="15">
        <v>100</v>
      </c>
      <c r="G48" s="16">
        <f t="shared" ref="G48:G54" si="7">E48+F48</f>
        <v>100</v>
      </c>
      <c r="H48" s="17">
        <f>G48-I48</f>
        <v>0</v>
      </c>
      <c r="I48" s="17">
        <v>100</v>
      </c>
    </row>
    <row r="49" ht="22" customHeight="1" spans="1:9">
      <c r="A49" s="4" t="s">
        <v>102</v>
      </c>
      <c r="B49" s="5" t="s">
        <v>103</v>
      </c>
      <c r="C49" s="6" t="s">
        <v>101</v>
      </c>
      <c r="D49" s="7">
        <v>45</v>
      </c>
      <c r="E49" s="8">
        <v>0</v>
      </c>
      <c r="F49" s="8">
        <v>100</v>
      </c>
      <c r="G49" s="9">
        <f t="shared" si="7"/>
        <v>100</v>
      </c>
      <c r="H49" s="17">
        <f>G49-I49</f>
        <v>7</v>
      </c>
      <c r="I49" s="10">
        <v>93</v>
      </c>
    </row>
    <row r="50" ht="22" customHeight="1" spans="1:9">
      <c r="A50" s="11" t="s">
        <v>104</v>
      </c>
      <c r="B50" s="12" t="s">
        <v>105</v>
      </c>
      <c r="C50" s="13" t="s">
        <v>101</v>
      </c>
      <c r="D50" s="14">
        <v>45</v>
      </c>
      <c r="E50" s="15">
        <v>0</v>
      </c>
      <c r="F50" s="15">
        <v>100</v>
      </c>
      <c r="G50" s="16">
        <f t="shared" si="7"/>
        <v>100</v>
      </c>
      <c r="H50" s="17">
        <f>G50-I50</f>
        <v>2</v>
      </c>
      <c r="I50" s="17">
        <v>98</v>
      </c>
    </row>
    <row r="51" ht="22" customHeight="1" spans="1:9">
      <c r="A51" s="4" t="s">
        <v>106</v>
      </c>
      <c r="B51" s="5" t="s">
        <v>107</v>
      </c>
      <c r="C51" s="6" t="s">
        <v>101</v>
      </c>
      <c r="D51" s="7">
        <v>45</v>
      </c>
      <c r="E51" s="8">
        <v>0</v>
      </c>
      <c r="F51" s="8">
        <v>100</v>
      </c>
      <c r="G51" s="9">
        <f t="shared" si="7"/>
        <v>100</v>
      </c>
      <c r="H51" s="17">
        <f>G51-I51</f>
        <v>0</v>
      </c>
      <c r="I51" s="10">
        <v>100</v>
      </c>
    </row>
    <row r="52" ht="22" customHeight="1" spans="1:9">
      <c r="A52" s="11" t="s">
        <v>108</v>
      </c>
      <c r="B52" s="12" t="s">
        <v>109</v>
      </c>
      <c r="C52" s="13" t="s">
        <v>101</v>
      </c>
      <c r="D52" s="14">
        <v>45</v>
      </c>
      <c r="E52" s="15">
        <v>0</v>
      </c>
      <c r="F52" s="15">
        <v>100</v>
      </c>
      <c r="G52" s="16">
        <f t="shared" si="7"/>
        <v>100</v>
      </c>
      <c r="H52" s="17">
        <f>G52-I52</f>
        <v>0</v>
      </c>
      <c r="I52" s="17">
        <v>100</v>
      </c>
    </row>
    <row r="53" ht="22" customHeight="1" spans="1:9">
      <c r="A53" s="4" t="s">
        <v>110</v>
      </c>
      <c r="B53" s="5" t="s">
        <v>111</v>
      </c>
      <c r="C53" s="6" t="s">
        <v>101</v>
      </c>
      <c r="D53" s="7">
        <v>45</v>
      </c>
      <c r="E53" s="8">
        <v>0</v>
      </c>
      <c r="F53" s="8">
        <v>100</v>
      </c>
      <c r="G53" s="9">
        <f t="shared" si="7"/>
        <v>100</v>
      </c>
      <c r="H53" s="17">
        <f>G53-I53</f>
        <v>0</v>
      </c>
      <c r="I53" s="10">
        <v>100</v>
      </c>
    </row>
    <row r="54" ht="24" customHeight="1" spans="1:9">
      <c r="A54" s="28" t="s">
        <v>112</v>
      </c>
    </row>
    <row r="55" ht="22" customHeight="1" spans="1:9">
      <c r="A55" s="11" t="s">
        <v>113</v>
      </c>
      <c r="B55" s="12" t="s">
        <v>114</v>
      </c>
      <c r="C55" s="13" t="s">
        <v>82</v>
      </c>
      <c r="D55" s="14">
        <v>98</v>
      </c>
      <c r="E55" s="15">
        <v>0</v>
      </c>
      <c r="F55" s="15">
        <v>3</v>
      </c>
      <c r="G55" s="16">
        <f>E55+F55</f>
        <v>3</v>
      </c>
      <c r="H55" s="17">
        <f>G55-I55</f>
        <v>0</v>
      </c>
      <c r="I55" s="17">
        <v>3</v>
      </c>
    </row>
    <row r="56" ht="22" customHeight="1" spans="1:9">
      <c r="A56" s="4" t="s">
        <v>115</v>
      </c>
      <c r="B56" s="5" t="s">
        <v>116</v>
      </c>
      <c r="C56" s="6" t="s">
        <v>82</v>
      </c>
      <c r="D56" s="7">
        <v>98</v>
      </c>
      <c r="E56" s="8">
        <v>0</v>
      </c>
      <c r="F56" s="8">
        <v>3</v>
      </c>
      <c r="G56" s="9">
        <f>E56+F56</f>
        <v>3</v>
      </c>
      <c r="H56" s="17">
        <f>G56-I56</f>
        <v>0</v>
      </c>
      <c r="I56" s="10">
        <v>3</v>
      </c>
    </row>
    <row r="57" ht="22" customHeight="1" spans="1:9">
      <c r="A57" s="11" t="s">
        <v>117</v>
      </c>
      <c r="B57" s="12" t="s">
        <v>118</v>
      </c>
      <c r="C57" s="13" t="s">
        <v>82</v>
      </c>
      <c r="D57" s="14">
        <v>98</v>
      </c>
      <c r="E57" s="15">
        <v>0</v>
      </c>
      <c r="F57" s="15">
        <v>3</v>
      </c>
      <c r="G57" s="16">
        <f>E57+F57</f>
        <v>3</v>
      </c>
      <c r="H57" s="17">
        <f>G57-I57</f>
        <v>3</v>
      </c>
      <c r="I57" s="17">
        <v>0</v>
      </c>
    </row>
    <row r="58" ht="22" customHeight="1" spans="1:9">
      <c r="A58" s="4" t="s">
        <v>119</v>
      </c>
      <c r="B58" s="5" t="s">
        <v>120</v>
      </c>
      <c r="C58" s="6" t="s">
        <v>121</v>
      </c>
      <c r="D58" s="7">
        <v>98</v>
      </c>
      <c r="E58" s="8">
        <v>0</v>
      </c>
      <c r="F58" s="8">
        <v>3</v>
      </c>
      <c r="G58" s="9">
        <f>E58+F58</f>
        <v>3</v>
      </c>
      <c r="H58" s="17">
        <f>G58-I58</f>
        <v>0</v>
      </c>
      <c r="I58" s="10">
        <v>3</v>
      </c>
    </row>
    <row r="59" ht="22" customHeight="1" spans="1:9">
      <c r="A59" s="11" t="s">
        <v>122</v>
      </c>
      <c r="B59" s="12" t="s">
        <v>123</v>
      </c>
      <c r="C59" s="13" t="s">
        <v>124</v>
      </c>
      <c r="D59" s="14">
        <v>85</v>
      </c>
      <c r="E59" s="15">
        <v>0</v>
      </c>
      <c r="F59" s="15">
        <v>32</v>
      </c>
      <c r="G59" s="16">
        <f>E59+F59</f>
        <v>32</v>
      </c>
      <c r="H59" s="17">
        <f>G59-I59</f>
        <v>0</v>
      </c>
      <c r="I59" s="17">
        <v>32</v>
      </c>
    </row>
    <row r="60" ht="24" customHeight="1" spans="1:9">
      <c r="A60" s="22" t="s">
        <v>125</v>
      </c>
    </row>
    <row r="61" ht="22" customHeight="1" spans="1:9">
      <c r="A61" s="4" t="s">
        <v>126</v>
      </c>
      <c r="B61" s="5" t="s">
        <v>127</v>
      </c>
      <c r="C61" s="6" t="s">
        <v>82</v>
      </c>
      <c r="D61" s="7">
        <v>35</v>
      </c>
      <c r="E61" s="8">
        <v>0</v>
      </c>
      <c r="F61" s="8">
        <v>24</v>
      </c>
      <c r="G61" s="9">
        <f t="shared" ref="G61:G72" si="8">E61+F61</f>
        <v>24</v>
      </c>
      <c r="H61" s="10">
        <f>G61-I61</f>
        <v>5</v>
      </c>
      <c r="I61" s="10">
        <v>19</v>
      </c>
    </row>
    <row r="62" ht="22" customHeight="1" spans="1:9">
      <c r="A62" s="11" t="s">
        <v>128</v>
      </c>
      <c r="B62" s="12" t="s">
        <v>129</v>
      </c>
      <c r="C62" s="13" t="s">
        <v>82</v>
      </c>
      <c r="D62" s="14">
        <v>35</v>
      </c>
      <c r="E62" s="15">
        <v>0</v>
      </c>
      <c r="F62" s="15">
        <v>24</v>
      </c>
      <c r="G62" s="16">
        <f t="shared" si="8"/>
        <v>24</v>
      </c>
      <c r="H62" s="10">
        <f t="shared" ref="H62:H71" si="9">G62-I62</f>
        <v>0</v>
      </c>
      <c r="I62" s="17">
        <v>24</v>
      </c>
    </row>
    <row r="63" ht="22" customHeight="1" spans="1:9">
      <c r="A63" s="4" t="s">
        <v>130</v>
      </c>
      <c r="B63" s="5" t="s">
        <v>131</v>
      </c>
      <c r="C63" s="6" t="s">
        <v>82</v>
      </c>
      <c r="D63" s="7">
        <v>35</v>
      </c>
      <c r="E63" s="8">
        <v>0</v>
      </c>
      <c r="F63" s="8">
        <v>24</v>
      </c>
      <c r="G63" s="9">
        <f t="shared" si="8"/>
        <v>24</v>
      </c>
      <c r="H63" s="10">
        <f t="shared" si="9"/>
        <v>3</v>
      </c>
      <c r="I63" s="10">
        <v>21</v>
      </c>
    </row>
    <row r="64" ht="22" customHeight="1" spans="1:9">
      <c r="A64" s="11" t="s">
        <v>132</v>
      </c>
      <c r="B64" s="12" t="s">
        <v>133</v>
      </c>
      <c r="C64" s="13" t="s">
        <v>77</v>
      </c>
      <c r="D64" s="14">
        <v>69.5</v>
      </c>
      <c r="E64" s="15">
        <v>4</v>
      </c>
      <c r="F64" s="15">
        <v>6</v>
      </c>
      <c r="G64" s="19">
        <f t="shared" si="8"/>
        <v>10</v>
      </c>
      <c r="H64" s="10">
        <f t="shared" si="9"/>
        <v>8.5</v>
      </c>
      <c r="I64" s="23">
        <v>1.5</v>
      </c>
    </row>
    <row r="65" ht="22" customHeight="1" spans="1:9">
      <c r="A65" s="4" t="s">
        <v>134</v>
      </c>
      <c r="B65" s="5" t="s">
        <v>135</v>
      </c>
      <c r="C65" s="6" t="s">
        <v>77</v>
      </c>
      <c r="D65" s="7">
        <v>12</v>
      </c>
      <c r="E65" s="8">
        <v>0</v>
      </c>
      <c r="F65" s="8">
        <v>35</v>
      </c>
      <c r="G65" s="9">
        <f t="shared" si="8"/>
        <v>35</v>
      </c>
      <c r="H65" s="10">
        <f t="shared" si="9"/>
        <v>35</v>
      </c>
      <c r="I65" s="10">
        <v>0</v>
      </c>
    </row>
    <row r="66" ht="22" customHeight="1" spans="1:9">
      <c r="A66" s="11" t="s">
        <v>136</v>
      </c>
      <c r="B66" s="12" t="s">
        <v>137</v>
      </c>
      <c r="C66" s="13" t="s">
        <v>77</v>
      </c>
      <c r="D66" s="14">
        <v>18</v>
      </c>
      <c r="E66" s="15">
        <v>0</v>
      </c>
      <c r="F66" s="15">
        <v>20</v>
      </c>
      <c r="G66" s="16">
        <f t="shared" si="8"/>
        <v>20</v>
      </c>
      <c r="H66" s="10">
        <f t="shared" si="9"/>
        <v>5</v>
      </c>
      <c r="I66" s="17">
        <v>15</v>
      </c>
    </row>
    <row r="67" ht="22" customHeight="1" spans="1:9">
      <c r="A67" s="4" t="s">
        <v>138</v>
      </c>
      <c r="B67" s="5" t="s">
        <v>139</v>
      </c>
      <c r="C67" s="6" t="s">
        <v>77</v>
      </c>
      <c r="D67" s="7">
        <v>55</v>
      </c>
      <c r="E67" s="8">
        <v>0</v>
      </c>
      <c r="F67" s="8">
        <v>48</v>
      </c>
      <c r="G67" s="9">
        <f t="shared" si="8"/>
        <v>48</v>
      </c>
      <c r="H67" s="10">
        <f t="shared" si="9"/>
        <v>9</v>
      </c>
      <c r="I67" s="10">
        <v>39</v>
      </c>
    </row>
    <row r="68" ht="22" customHeight="1" spans="1:9">
      <c r="A68" s="11" t="s">
        <v>140</v>
      </c>
      <c r="B68" s="12" t="s">
        <v>141</v>
      </c>
      <c r="C68" s="13" t="s">
        <v>77</v>
      </c>
      <c r="D68" s="14">
        <v>52</v>
      </c>
      <c r="E68" s="15">
        <v>0</v>
      </c>
      <c r="F68" s="15">
        <v>48</v>
      </c>
      <c r="G68" s="16">
        <f t="shared" si="8"/>
        <v>48</v>
      </c>
      <c r="H68" s="10">
        <f t="shared" si="9"/>
        <v>4</v>
      </c>
      <c r="I68" s="17">
        <v>44</v>
      </c>
    </row>
    <row r="69" ht="22" customHeight="1" spans="1:9">
      <c r="A69" s="4" t="s">
        <v>142</v>
      </c>
      <c r="B69" s="5" t="s">
        <v>143</v>
      </c>
      <c r="C69" s="6" t="s">
        <v>77</v>
      </c>
      <c r="D69" s="7">
        <v>48</v>
      </c>
      <c r="E69" s="8">
        <v>0</v>
      </c>
      <c r="F69" s="8">
        <v>24</v>
      </c>
      <c r="G69" s="9">
        <f t="shared" si="8"/>
        <v>24</v>
      </c>
      <c r="H69" s="10">
        <f t="shared" si="9"/>
        <v>2</v>
      </c>
      <c r="I69" s="10">
        <v>22</v>
      </c>
    </row>
    <row r="70" ht="22" customHeight="1" spans="1:9">
      <c r="A70" s="11" t="s">
        <v>144</v>
      </c>
      <c r="B70" s="12" t="s">
        <v>145</v>
      </c>
      <c r="C70" s="13" t="s">
        <v>77</v>
      </c>
      <c r="D70" s="14">
        <v>95</v>
      </c>
      <c r="E70" s="15">
        <v>0</v>
      </c>
      <c r="F70" s="15">
        <v>6</v>
      </c>
      <c r="G70" s="16">
        <f t="shared" si="8"/>
        <v>6</v>
      </c>
      <c r="H70" s="10">
        <f t="shared" si="9"/>
        <v>0</v>
      </c>
      <c r="I70" s="17">
        <v>6</v>
      </c>
    </row>
    <row r="71" ht="22" customHeight="1" spans="1:9">
      <c r="A71" s="4" t="s">
        <v>146</v>
      </c>
      <c r="B71" s="5" t="s">
        <v>147</v>
      </c>
      <c r="C71" s="6" t="s">
        <v>77</v>
      </c>
      <c r="D71" s="7">
        <v>110</v>
      </c>
      <c r="E71" s="8">
        <v>0</v>
      </c>
      <c r="F71" s="8">
        <v>4</v>
      </c>
      <c r="G71" s="9">
        <f t="shared" si="8"/>
        <v>4</v>
      </c>
      <c r="H71" s="10">
        <f t="shared" si="9"/>
        <v>0</v>
      </c>
      <c r="I71" s="10">
        <v>4</v>
      </c>
    </row>
  </sheetData>
  <mergeCells count="10">
    <mergeCell ref="A1:I1"/>
    <mergeCell ref="A4:I4"/>
    <mergeCell ref="A8:I8"/>
    <mergeCell ref="A11:I11"/>
    <mergeCell ref="A24:I24"/>
    <mergeCell ref="A32:I32"/>
    <mergeCell ref="A39:I39"/>
    <mergeCell ref="A47:I47"/>
    <mergeCell ref="A54:I54"/>
    <mergeCell ref="A60:I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📋 Complete Inventory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Junrel Ejurango</cp:lastModifiedBy>
  <dcterms:created xsi:type="dcterms:W3CDTF">2026-09-22T01:57:00Z</dcterms:created>
  <dcterms:modified xsi:type="dcterms:W3CDTF">2026-09-22T02:15:26Z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EBBC3A27AE4E4728B1380C718141EAA9_12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