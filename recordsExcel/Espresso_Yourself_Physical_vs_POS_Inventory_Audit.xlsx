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 activeTab="1"/>
  </bookViews>
  <sheets>
    <sheet name="📊 Executive Summary" sheetId="1" r:id="rId1"/>
    <sheet name="📋 Complete Inventory Audit" sheetId="2" r:id="rId2"/>
    <sheet name="🚨 Reorder &amp; Action Li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<sst xmlns="http://schemas.openxmlformats.org/spreadsheetml/2006/main" count="393" uniqueCount="294">
  <si>
    <t>ESPRESSO YOURSELF &amp; TEA HOUSE — INVENTORY RECONCILIATION AUDIT</t>
  </si>
  <si>
    <t>Branch: Cebu City (#30)  |  Audit Date: September 22, 2026  |  Barista Physical Inventory vs POS System Database</t>
  </si>
  <si>
    <t>TOTAL ITEMS AUDITED</t>
  </si>
  <si>
    <t>PERFECT / NEAR MATCHES</t>
  </si>
  <si>
    <t>LOW STOCK ALERTS</t>
  </si>
  <si>
    <t>OUT OF STOCK (URGENT)</t>
  </si>
  <si>
    <t>59 Items</t>
  </si>
  <si>
    <t>28 Items</t>
  </si>
  <si>
    <t>7 Items</t>
  </si>
  <si>
    <t>3 Items</t>
  </si>
  <si>
    <t>Full Store Coverage</t>
  </si>
  <si>
    <t>47.5% System Alignment</t>
  </si>
  <si>
    <t>Action within 2-3 days</t>
  </si>
  <si>
    <t>Immediate Restock Required</t>
  </si>
  <si>
    <t>📊 CATEGORY-BY-CATEGORY AUDIT SUMMARY &amp; FINANCIAL VALUATION</t>
  </si>
  <si>
    <t>Category / Department</t>
  </si>
  <si>
    <t>Total Items</t>
  </si>
  <si>
    <t>Perfect Matches</t>
  </si>
  <si>
    <t>Low Stock</t>
  </si>
  <si>
    <t>Out of Stock</t>
  </si>
  <si>
    <t>Physical Valuation (₱)</t>
  </si>
  <si>
    <t>Status Health</t>
  </si>
  <si>
    <t>Operational Recommendation</t>
  </si>
  <si>
    <t>1. Cups &amp; Packaging Consumables</t>
  </si>
  <si>
    <t>🟢 Plentiful</t>
  </si>
  <si>
    <t>Stock is very healthy. All 3 cup sizes sufficient for peak volume.</t>
  </si>
  <si>
    <t>2. Coffee Beans &amp; Specialty Roasts</t>
  </si>
  <si>
    <t>🟢 Good</t>
  </si>
  <si>
    <t>Australia's Own 100% match. Concept Blend has 3 full 1kg packs left.</t>
  </si>
  <si>
    <t>3. Torani Flavor Syrups &amp; Purées</t>
  </si>
  <si>
    <t>🟢 100% Match</t>
  </si>
  <si>
    <t>All 12 Torani bottles and gallons match POS records exactly.</t>
  </si>
  <si>
    <t>4. SHOTT New Zealand Syrups</t>
  </si>
  <si>
    <t>🔴 Action Needed</t>
  </si>
  <si>
    <t>Pink Guava EMPTY! Mango &amp; Pomegranate low (&lt;250ml). Order restock.</t>
  </si>
  <si>
    <t>5. Condiments, Spreads &amp; Mixes</t>
  </si>
  <si>
    <t>🟡 In-Use Normal</t>
  </si>
  <si>
    <t>12+ cans condensed milk, active caramel fudge and Biscoff sauces.</t>
  </si>
  <si>
    <t>6. Powders &amp; Brewing Tea Leaves</t>
  </si>
  <si>
    <t>🟢 Good / Match</t>
  </si>
  <si>
    <t>Jasmine Tea (597g) &amp; Matcha (101g) match. Choco powder has +612g backup.</t>
  </si>
  <si>
    <t>7. Dilmah Specialty Tea Packs</t>
  </si>
  <si>
    <t>Flawless tracking: Chamomile, Green, Oolong, Jasmine 100/100, Mint 98/98!</t>
  </si>
  <si>
    <t>8. Grab-and-Go Retail Snacks</t>
  </si>
  <si>
    <t>🔴 Restock Needed</t>
  </si>
  <si>
    <t>Pringles Sour Cream EMPTY. Cheddar, Original, Cheetos at only 3 left!</t>
  </si>
  <si>
    <t>9. Retail Drinks, Water &amp; Beers</t>
  </si>
  <si>
    <t>🔴 Urgent Water Order</t>
  </si>
  <si>
    <t>Nature Spring 500ml EMPTY (54 sold). Nature Spring 1L is 100% match (15pcs)!</t>
  </si>
  <si>
    <t>TOTAL / STOREWIDE VALUATION:</t>
  </si>
  <si>
    <t>94.9% Audited</t>
  </si>
  <si>
    <t>Immediate procurement required for 3 out-of-stock items.</t>
  </si>
  <si>
    <t>💡 AUDITOR &amp; BARISTA KEY TAKEAWAYS FOR ESPRESSO YOURSELF &amp; TEA HOUSE</t>
  </si>
  <si>
    <t>1. Flawless Alignment on Teas &amp; Syrups</t>
  </si>
  <si>
    <t>Dilmah Specialty Teas showed an astounding match (100 Chamomile, 98 Peppermint, 100 Green, 100 Oolong, 100 Jasmine Green, 93 Earl Grey). All 12 Torani Syrups and purees match 100% with the POS inventory system.</t>
  </si>
  <si>
    <t>2. Perfect Mathematical Match on Nature Spring 1L</t>
  </si>
  <si>
    <t>Nature Spring 1L started at 20 bottles baseline; the POS recorded exactly 5 customer sales, and the physical count found EXACTLY 15 bottles (20 - 5 = 15). Zero shrinkage!</t>
  </si>
  <si>
    <t>3. Critical Out-of-Stock Alert: Nature Spring 500ml</t>
  </si>
  <si>
    <t>Nature Spring 500ml is completely EMPTY. The POS recorded 54 sales (exceeding initial 50-bottle stock). Customers will be turned away without water. Urgent reorder of 2-3 cases needed today!</t>
  </si>
  <si>
    <t>4. Urgent Snack Reorder (Pringles &amp; Cheetos)</t>
  </si>
  <si>
    <t>Pringles Sour Cream is EMPTY (100% sold). Pringles Cheddar, Original, and Cheetos each have only 3 units remaining. Need restock before the weekend.</t>
  </si>
  <si>
    <t>5. SHOTT Pink Guava Depleted</t>
  </si>
  <si>
    <t>SHOTT Pink Guava is completely EMPTY. Pomegranate and Mango are down to 210-250ml. Restock required for Soda Based drinks and Fruit Teas.</t>
  </si>
  <si>
    <t>6. Healthy Coffee Beans &amp; Packaging</t>
  </si>
  <si>
    <t>Store has 3 full 1kg packs of Concept Blend espresso beans + 1 pack Artisanal specialty roast, and 2,260 total cups (709 plastic 16oz, 626 paper 16oz, 925 paper 8oz). Operations are fully secured for coffee beverages.</t>
  </si>
  <si>
    <t>ESPRESSO YOURSELF &amp; TEA HOUSE — COMPREHENSIVE INVENTORY RECONCILIATION</t>
  </si>
  <si>
    <t>SKU / Code</t>
  </si>
  <si>
    <t>Item Description &amp; Specifications</t>
  </si>
  <si>
    <t>UOM</t>
  </si>
  <si>
    <t>Unit Cost (₱)</t>
  </si>
  <si>
    <t>Barista Input (Raw)</t>
  </si>
  <si>
    <t>POS / System Stock</t>
  </si>
  <si>
    <t>📦  1. CUPS &amp; PACKAGING CONSUMABLES</t>
  </si>
  <si>
    <t>PKG-001</t>
  </si>
  <si>
    <t>Plastic Cup 16oz (Cold PET)</t>
  </si>
  <si>
    <t>pcs</t>
  </si>
  <si>
    <t>709pcs</t>
  </si>
  <si>
    <t>PKG-002</t>
  </si>
  <si>
    <t>Paper Cup 16oz (Hot Large)</t>
  </si>
  <si>
    <t>626</t>
  </si>
  <si>
    <t>PKG-003</t>
  </si>
  <si>
    <t>Paper Cup 8oz (Hot Small)</t>
  </si>
  <si>
    <t>925</t>
  </si>
  <si>
    <t>Subtotal — 1. CUPS &amp; PACKAGING CONSUMABLES:</t>
  </si>
  <si>
    <t>☕  2. COFFEE BEANS &amp; SPECIALTY ROASTS</t>
  </si>
  <si>
    <t>ING-001</t>
  </si>
  <si>
    <t>Concept Blend 1 (Espresso Beans)</t>
  </si>
  <si>
    <t>pack (1kg)</t>
  </si>
  <si>
    <t>3 packs</t>
  </si>
  <si>
    <t>ING-002</t>
  </si>
  <si>
    <t>Australia's Own / Artisanal Roast</t>
  </si>
  <si>
    <t>1pack (Artisanal brand)</t>
  </si>
  <si>
    <t>Subtotal — 2. COFFEE BEANS &amp; SPECIALTY ROASTS:</t>
  </si>
  <si>
    <t>🍯  3. TORANI FLAVOR SYRUPS &amp; PURÉES</t>
  </si>
  <si>
    <t>TOR-001</t>
  </si>
  <si>
    <t>Torani Irish Cream Syrup 750ml</t>
  </si>
  <si>
    <t>bottle</t>
  </si>
  <si>
    <t>1 bottle</t>
  </si>
  <si>
    <t>TOR-002</t>
  </si>
  <si>
    <t>Torani Salted Caramel Syrup 750ml</t>
  </si>
  <si>
    <t>1bottle</t>
  </si>
  <si>
    <t>TOR-003</t>
  </si>
  <si>
    <t>Torani White Chocolate Syrup 750ml</t>
  </si>
  <si>
    <t>TOR-004</t>
  </si>
  <si>
    <t>Torani French Vanilla Syrup 750ml</t>
  </si>
  <si>
    <t>TOR-005</t>
  </si>
  <si>
    <t>Torani Macadamia Nut Syrup 750ml</t>
  </si>
  <si>
    <t>TOR-006</t>
  </si>
  <si>
    <t>Torani Hazelnut Syrup 750ml</t>
  </si>
  <si>
    <t>TOR-007</t>
  </si>
  <si>
    <t>Torani Butterscotch Syrup 750ml</t>
  </si>
  <si>
    <t>TOR-008</t>
  </si>
  <si>
    <t>Torani Pomegranate Syrup 750ml</t>
  </si>
  <si>
    <t>TOR-009</t>
  </si>
  <si>
    <t>Torani Lychee Syrup 750ml</t>
  </si>
  <si>
    <t>TOR-010</t>
  </si>
  <si>
    <t>Torani Caramel Sauce / Syrup (Gallon)</t>
  </si>
  <si>
    <t>gallon</t>
  </si>
  <si>
    <t>1gallon</t>
  </si>
  <si>
    <t>TOR-011</t>
  </si>
  <si>
    <t>Torani Mango Purée Blend 1.89L</t>
  </si>
  <si>
    <t>TOR-012</t>
  </si>
  <si>
    <t>Torani Strawberry Purée Blend 1.89L</t>
  </si>
  <si>
    <t>1gallon (1L)</t>
  </si>
  <si>
    <t>Subtotal — 3. TORANI FLAVOR SYRUPS &amp; PURÉES:</t>
  </si>
  <si>
    <t>✨  4. SHOTT NEW ZEALAND PREMIUM SYRUPS</t>
  </si>
  <si>
    <t>SHT-001</t>
  </si>
  <si>
    <t>SHOTT Pink Guava Syrup 1L</t>
  </si>
  <si>
    <t>bottle (1L)</t>
  </si>
  <si>
    <t>empty</t>
  </si>
  <si>
    <t>SHT-002</t>
  </si>
  <si>
    <t>SHOTT Irish Cream Syrup 1L</t>
  </si>
  <si>
    <t>1bottle (1L)</t>
  </si>
  <si>
    <t>SHT-003</t>
  </si>
  <si>
    <t>SHOTT Mango Syrup 1L</t>
  </si>
  <si>
    <t>210ml</t>
  </si>
  <si>
    <t>SHT-004</t>
  </si>
  <si>
    <t>SHOTT Macadamia Syrup 1L</t>
  </si>
  <si>
    <t>900ml</t>
  </si>
  <si>
    <t>SHT-005</t>
  </si>
  <si>
    <t>SHOTT Vanilla Syrup 1L</t>
  </si>
  <si>
    <t>SHT-006</t>
  </si>
  <si>
    <t>SHOTT Lychee Syrup 1L</t>
  </si>
  <si>
    <t>SHT-007</t>
  </si>
  <si>
    <t>SHOTT Pomegranate Syrup 1L</t>
  </si>
  <si>
    <t>250ml</t>
  </si>
  <si>
    <t>Subtotal — 4. SHOTT NEW ZEALAND PREMIUM SYRUPS:</t>
  </si>
  <si>
    <t>🧈  5. CONDIMENTS, SPREADS &amp; MIXES</t>
  </si>
  <si>
    <t>MIX-001</t>
  </si>
  <si>
    <t>Biscoff Sauce Mix (In-House Prep)</t>
  </si>
  <si>
    <t>grams</t>
  </si>
  <si>
    <t>213g</t>
  </si>
  <si>
    <t>MIX-002</t>
  </si>
  <si>
    <t>Lotus Biscoff Spread Smooth 400g</t>
  </si>
  <si>
    <t>201g</t>
  </si>
  <si>
    <t>MIX-003</t>
  </si>
  <si>
    <t>Lotus Biscoff Biscuits (Garnish)</t>
  </si>
  <si>
    <t>13pcs biscuit</t>
  </si>
  <si>
    <t>MIX-004</t>
  </si>
  <si>
    <t>Sugar Syrup (Hi-Fructose 500ml)</t>
  </si>
  <si>
    <t>bottles</t>
  </si>
  <si>
    <t>3 bottle</t>
  </si>
  <si>
    <t>MIX-005</t>
  </si>
  <si>
    <t>Caramel Mix (Bakersfield Caramel Fudge)</t>
  </si>
  <si>
    <t>268g + 481.6g</t>
  </si>
  <si>
    <t>MIX-006</t>
  </si>
  <si>
    <t>Doreen Condensed Milk 390g</t>
  </si>
  <si>
    <t>cans</t>
  </si>
  <si>
    <t>205g + 12cans</t>
  </si>
  <si>
    <t>Subtotal — 5. CONDIMENTS, SPREADS &amp; MIXES:</t>
  </si>
  <si>
    <t>🍃  6. POWDERS &amp; BREWING TEA LEAVES</t>
  </si>
  <si>
    <t>POW-001</t>
  </si>
  <si>
    <t>Oreo Crushed Cookie Crumbs 454g</t>
  </si>
  <si>
    <t>296g</t>
  </si>
  <si>
    <t>POW-002</t>
  </si>
  <si>
    <t>Easy Cookies &amp; Cream Powder 1kg</t>
  </si>
  <si>
    <t>615g + 282g</t>
  </si>
  <si>
    <t>POW-003</t>
  </si>
  <si>
    <t>Matcha Powder (Pure / Culinary)</t>
  </si>
  <si>
    <t>101g</t>
  </si>
  <si>
    <t>POW-004</t>
  </si>
  <si>
    <t>Black Tea Leaves (Possmei Assam)</t>
  </si>
  <si>
    <t>401g + 297g</t>
  </si>
  <si>
    <t>POW-005</t>
  </si>
  <si>
    <t>Jasmine Green Tea Leaves (Possmei)</t>
  </si>
  <si>
    <t>302g + 295g</t>
  </si>
  <si>
    <t>POW-006</t>
  </si>
  <si>
    <t>Easy Dark Choco Powder Base 1kg</t>
  </si>
  <si>
    <t>326g + 286g + 1pack (1kg)</t>
  </si>
  <si>
    <t>POW-007</t>
  </si>
  <si>
    <t>Artisanal Salted Cream Cheese Powder</t>
  </si>
  <si>
    <t>448g</t>
  </si>
  <si>
    <t>Subtotal — 6. POWDERS &amp; BREWING TEA LEAVES:</t>
  </si>
  <si>
    <t>🍵  7. DILMAH SPECIALTY TEA PACKS</t>
  </si>
  <si>
    <t>DLM-001</t>
  </si>
  <si>
    <t>Dilmah Pure Chamomile Flowers Tea</t>
  </si>
  <si>
    <t>sachets</t>
  </si>
  <si>
    <t>100pcs</t>
  </si>
  <si>
    <t>DLM-002</t>
  </si>
  <si>
    <t>Dilmah Earl Grey Tea</t>
  </si>
  <si>
    <t>93pcs</t>
  </si>
  <si>
    <t>DLM-003</t>
  </si>
  <si>
    <t>Dilmah Pure Peppermint Leaves Tea</t>
  </si>
  <si>
    <t>98pcs</t>
  </si>
  <si>
    <t>DLM-004</t>
  </si>
  <si>
    <t>Dilmah Gourmet Pure Green Tea</t>
  </si>
  <si>
    <t>DLM-005</t>
  </si>
  <si>
    <t>Dilmah Traditional Oolong Tea</t>
  </si>
  <si>
    <t>DLM-006</t>
  </si>
  <si>
    <t>Dilmah Green Tea with Jasmine</t>
  </si>
  <si>
    <t>Subtotal — 7. DILMAH SPECIALTY TEA PACKS:</t>
  </si>
  <si>
    <t>🥨  8. GRAB-AND-GO RETAIL SNACKS</t>
  </si>
  <si>
    <t>SNK-001</t>
  </si>
  <si>
    <t>Pringles Cheddar Cheese 158g</t>
  </si>
  <si>
    <t>3pcs</t>
  </si>
  <si>
    <t>SNK-002</t>
  </si>
  <si>
    <t>Pringles Original 158g</t>
  </si>
  <si>
    <t>SNK-003</t>
  </si>
  <si>
    <t>Pringles Sour Cream &amp; Onion 158g</t>
  </si>
  <si>
    <t>SNK-004</t>
  </si>
  <si>
    <t>Cheetos Cheddar Jalapeño 226.8g</t>
  </si>
  <si>
    <t>packs</t>
  </si>
  <si>
    <t>SNK-005</t>
  </si>
  <si>
    <t>Butter Lover Popcorn Bags</t>
  </si>
  <si>
    <t>bags</t>
  </si>
  <si>
    <t>32packs</t>
  </si>
  <si>
    <t>Subtotal — 8. GRAB-AND-GO RETAIL SNACKS:</t>
  </si>
  <si>
    <t>🥤  9. RETAIL DRINKS, WATER &amp; BEERS</t>
  </si>
  <si>
    <t>BEV-001</t>
  </si>
  <si>
    <t>Coca-Cola Zero Sugar 320ml Can</t>
  </si>
  <si>
    <t>20pcs</t>
  </si>
  <si>
    <t>BEV-002</t>
  </si>
  <si>
    <t>Coca-Cola Regular 320ml Can</t>
  </si>
  <si>
    <t>24pcs</t>
  </si>
  <si>
    <t>BEV-003</t>
  </si>
  <si>
    <t>Sprite Soda 320ml Can</t>
  </si>
  <si>
    <t>21pcs</t>
  </si>
  <si>
    <t>BEV-004</t>
  </si>
  <si>
    <t>Sprite 1.5L Bottle (Bar Mixer)</t>
  </si>
  <si>
    <t>1bottle and half bottle</t>
  </si>
  <si>
    <t>BEV-005</t>
  </si>
  <si>
    <t>Nature Spring Mineral Water 500ml</t>
  </si>
  <si>
    <t>BEV-006</t>
  </si>
  <si>
    <t>Nature Spring Mineral Water 1L</t>
  </si>
  <si>
    <t>15pcs</t>
  </si>
  <si>
    <t>BEV-007</t>
  </si>
  <si>
    <t>Red Horse Stallion Beer 330ml</t>
  </si>
  <si>
    <t>39bottle</t>
  </si>
  <si>
    <t>BEV-008</t>
  </si>
  <si>
    <t>San Miguel Pale Pilsen 320ml</t>
  </si>
  <si>
    <t>50bottle</t>
  </si>
  <si>
    <t>BEV-009</t>
  </si>
  <si>
    <t>San Mig Light - Apple 330ml</t>
  </si>
  <si>
    <t>22bottle</t>
  </si>
  <si>
    <t>BEV-010</t>
  </si>
  <si>
    <t>Evian Natural Spring Water 500ml</t>
  </si>
  <si>
    <t>6pcs</t>
  </si>
  <si>
    <t>BEV-011</t>
  </si>
  <si>
    <t>Perrier Sparkling Mineral Water 330ml</t>
  </si>
  <si>
    <t>4 bottle</t>
  </si>
  <si>
    <t>Subtotal — 9. RETAIL DRINKS, WATER &amp; BEERS:</t>
  </si>
  <si>
    <t>🏆 GRAND TOTAL (ALL 59 AUDITED ITEMS):</t>
  </si>
  <si>
    <t>ESPRESSO YOURSELF &amp; TEA HOUSE — PRIORITY RESTOCKING &amp; PURCHASING LIST</t>
  </si>
  <si>
    <t>Items Requiring Immediate Purchasing or Supplier Delivery based on Physical Inventory Audit</t>
  </si>
  <si>
    <t>Priority</t>
  </si>
  <si>
    <t>Item Description &amp; SKU</t>
  </si>
  <si>
    <t>Current Count</t>
  </si>
  <si>
    <t>Target Par Level</t>
  </si>
  <si>
    <t>Suggested Order Qty</t>
  </si>
  <si>
    <t>Est. Unit Cost</t>
  </si>
  <si>
    <t>Est. Reorder Cost (₱)</t>
  </si>
  <si>
    <t>🚨 CRITICAL</t>
  </si>
  <si>
    <t>0 (EMPTY)</t>
  </si>
  <si>
    <t>50 bottles</t>
  </si>
  <si>
    <t>2 Cases (48 bottles)</t>
  </si>
  <si>
    <t>10 cans</t>
  </si>
  <si>
    <t>1 Case (12 cans)</t>
  </si>
  <si>
    <t>2 bottles</t>
  </si>
  <si>
    <t>2 Bottles (1L)</t>
  </si>
  <si>
    <t>⚠️ HIGH</t>
  </si>
  <si>
    <t>3 cans</t>
  </si>
  <si>
    <t>8 packs</t>
  </si>
  <si>
    <t>1 Box (8 packs)</t>
  </si>
  <si>
    <t>1 Bottle (1L)</t>
  </si>
  <si>
    <t>🟡 MEDIUM</t>
  </si>
  <si>
    <t>4 bottles</t>
  </si>
  <si>
    <t>12 bottles</t>
  </si>
  <si>
    <t>1 Pack (12 bottles)</t>
  </si>
  <si>
    <t>3 bottles</t>
  </si>
  <si>
    <t>10 bottles</t>
  </si>
  <si>
    <t>1 Box (6 bottles)</t>
  </si>
  <si>
    <t>6 bottles</t>
  </si>
  <si>
    <t>1 Pack (6 bottles)</t>
  </si>
  <si>
    <t>ESTIMATED TOTAL URGENT PROCUREMENT BUDGET: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</si>
</sst>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&quot;₱&quot;#,##0.00"/>
  </numFmts>
  <fonts count="41">
    <font>
      <sz val="11"/>
      <color theme="1"/>
      <name val="Calibri"/>
      <charset val="134"/>
      <scheme val="minor"/>
    </font>
    <font>
      <b/>
      <sz val="16"/>
      <color rgb="FFFFFFFF"/>
      <name val="Segoe UI"/>
      <charset val="134"/>
    </font>
    <font>
      <i/>
      <sz val="10"/>
      <color rgb="FFE0D4C3"/>
      <name val="Segoe UI"/>
      <charset val="134"/>
    </font>
    <font>
      <b/>
      <sz val="11"/>
      <color rgb="FFFFFFFF"/>
      <name val="Segoe UI"/>
      <charset val="134"/>
    </font>
    <font>
      <b/>
      <sz val="10"/>
      <color rgb="FF842029"/>
      <name val="Segoe UI"/>
      <charset val="134"/>
    </font>
    <font>
      <b/>
      <sz val="10"/>
      <color rgb="FF1F1F1F"/>
      <name val="Segoe UI"/>
      <charset val="134"/>
    </font>
    <font>
      <sz val="10"/>
      <color rgb="FF1F1F1F"/>
      <name val="Segoe UI"/>
      <charset val="134"/>
    </font>
    <font>
      <b/>
      <sz val="10"/>
      <color rgb="FF664D03"/>
      <name val="Segoe UI"/>
      <charset val="134"/>
    </font>
    <font>
      <b/>
      <sz val="10"/>
      <color rgb="FF084298"/>
      <name val="Segoe UI"/>
      <charset val="134"/>
    </font>
    <font>
      <b/>
      <sz val="11"/>
      <color rgb="FF2C1810"/>
      <name val="Segoe UI"/>
      <charset val="134"/>
    </font>
    <font>
      <b/>
      <sz val="12"/>
      <color rgb="FF842029"/>
      <name val="Segoe UI"/>
      <charset val="134"/>
    </font>
    <font>
      <b/>
      <sz val="9"/>
      <color rgb="FF555555"/>
      <name val="Segoe UI"/>
      <charset val="134"/>
    </font>
    <font>
      <i/>
      <sz val="9"/>
      <color rgb="FF333333"/>
      <name val="Segoe UI"/>
      <charset val="134"/>
    </font>
    <font>
      <b/>
      <sz val="9"/>
      <color rgb="FF4A2E1B"/>
      <name val="Segoe UI"/>
      <charset val="134"/>
    </font>
    <font>
      <b/>
      <sz val="9"/>
      <name val="Segoe UI"/>
      <charset val="134"/>
    </font>
    <font>
      <b/>
      <sz val="9"/>
      <color rgb="FFFFFFFF"/>
      <name val="Segoe UI"/>
      <charset val="134"/>
    </font>
    <font>
      <b/>
      <sz val="18"/>
      <color rgb="FF1F1F1F"/>
      <name val="Segoe UI"/>
      <charset val="134"/>
    </font>
    <font>
      <i/>
      <sz val="9"/>
      <color rgb="FF555555"/>
      <name val="Segoe UI"/>
      <charset val="134"/>
    </font>
    <font>
      <b/>
      <sz val="12"/>
      <color rgb="FFFFFFFF"/>
      <name val="Segoe UI"/>
      <charset val="134"/>
    </font>
    <font>
      <b/>
      <sz val="10"/>
      <color rgb="FF0F5132"/>
      <name val="Segoe UI"/>
      <charset val="134"/>
    </font>
    <font>
      <b/>
      <sz val="11"/>
      <color rgb="FF0F5132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842029"/>
        <bgColor rgb="FF842029"/>
      </patternFill>
    </fill>
    <fill>
      <patternFill patternType="solid">
        <fgColor rgb="FF4A2E1B"/>
        <bgColor rgb="FF4A2E1B"/>
      </patternFill>
    </fill>
    <fill>
      <patternFill patternType="solid">
        <fgColor rgb="FF2C1810"/>
        <bgColor rgb="FF2C1810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  <fill>
      <patternFill patternType="solid">
        <fgColor rgb="FFCFE2FF"/>
        <bgColor rgb="FFCFE2FF"/>
      </patternFill>
    </fill>
    <fill>
      <patternFill patternType="solid">
        <fgColor rgb="FF3D2314"/>
        <bgColor rgb="FF3D2314"/>
      </patternFill>
    </fill>
    <fill>
      <patternFill patternType="solid">
        <fgColor rgb="FF4A3525"/>
        <bgColor rgb="FF4A3525"/>
      </patternFill>
    </fill>
    <fill>
      <patternFill patternType="solid">
        <fgColor rgb="FFFFFFFF"/>
        <bgColor rgb="FFFFFFFF"/>
      </patternFill>
    </fill>
    <fill>
      <patternFill patternType="solid">
        <fgColor rgb="FFFAF8F5"/>
        <bgColor rgb="FFFAF8F5"/>
      </patternFill>
    </fill>
    <fill>
      <patternFill patternType="solid">
        <fgColor rgb="FFF2EDE4"/>
        <bgColor rgb="FFF2EDE4"/>
      </patternFill>
    </fill>
    <fill>
      <patternFill patternType="solid">
        <fgColor rgb="FF6B3E26"/>
        <bgColor rgb="FF6B3E26"/>
      </patternFill>
    </fill>
    <fill>
      <patternFill patternType="solid">
        <fgColor rgb="FF1A4870"/>
        <bgColor rgb="FF1A4870"/>
      </patternFill>
    </fill>
    <fill>
      <patternFill patternType="solid">
        <fgColor rgb="FF7A5210"/>
        <bgColor rgb="FF7A5210"/>
      </patternFill>
    </fill>
    <fill>
      <patternFill patternType="solid">
        <fgColor rgb="FF2D5A27"/>
        <bgColor rgb="FF2D5A27"/>
      </patternFill>
    </fill>
    <fill>
      <patternFill patternType="solid">
        <fgColor rgb="FF1B4D3E"/>
        <bgColor rgb="FF1B4D3E"/>
      </patternFill>
    </fill>
    <fill>
      <patternFill patternType="solid">
        <fgColor rgb="FF7A3E26"/>
        <bgColor rgb="FF7A3E26"/>
      </patternFill>
    </fill>
    <fill>
      <patternFill patternType="solid">
        <fgColor rgb="FFE6DFD5"/>
        <bgColor rgb="FFE6DFD5"/>
      </patternFill>
    </fill>
    <fill>
      <patternFill patternType="solid">
        <fgColor rgb="FF0F5132"/>
        <bgColor rgb="FF0F5132"/>
      </patternFill>
    </fill>
    <fill>
      <patternFill patternType="solid">
        <fgColor rgb="FF664D03"/>
        <bgColor rgb="FF664D03"/>
      </patternFill>
    </fill>
    <fill>
      <patternFill patternType="solid">
        <fgColor rgb="FFF5F5F5"/>
        <bgColor rgb="FFF5F5F5"/>
      </patternFill>
    </fill>
    <fill>
      <patternFill patternType="solid">
        <fgColor rgb="FFD1E7DD"/>
        <bgColor rgb="FFD1E7DD"/>
      </patternFill>
    </fill>
    <fill>
      <patternFill patternType="solid">
        <fgColor rgb="FFF5EFE6"/>
        <bgColor rgb="FFF5EF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medium">
        <color rgb="FF2C1810"/>
      </top>
      <bottom style="medium">
        <color rgb="FF2C181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2C1810"/>
      </top>
      <bottom style="double">
        <color rgb="FF2C1810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25" borderId="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26" borderId="8" applyNumberFormat="0" applyAlignment="0" applyProtection="0">
      <alignment vertical="center"/>
    </xf>
    <xf numFmtId="0" fontId="31" fillId="27" borderId="9" applyNumberFormat="0" applyAlignment="0" applyProtection="0">
      <alignment vertical="center"/>
    </xf>
    <xf numFmtId="0" fontId="32" fillId="27" borderId="8" applyNumberFormat="0" applyAlignment="0" applyProtection="0">
      <alignment vertical="center"/>
    </xf>
    <xf numFmtId="0" fontId="33" fillId="28" borderId="10" applyNumberFormat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39" fillId="55" borderId="0" applyNumberFormat="0" applyBorder="0" applyAlignment="0" applyProtection="0">
      <alignment vertical="center"/>
    </xf>
  </cellStyleXfs>
  <cellXfs count="6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right" vertical="center"/>
    </xf>
    <xf numFmtId="176" fontId="5" fillId="0" borderId="2" xfId="0" applyNumberFormat="1" applyFont="1" applyBorder="1" applyAlignment="1">
      <alignment horizontal="right" vertical="center"/>
    </xf>
    <xf numFmtId="0" fontId="7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right" vertical="center"/>
    </xf>
    <xf numFmtId="0" fontId="0" fillId="5" borderId="3" xfId="0" applyFill="1" applyBorder="1"/>
    <xf numFmtId="176" fontId="10" fillId="5" borderId="3" xfId="0" applyNumberFormat="1" applyFont="1" applyFill="1" applyBorder="1" applyAlignment="1">
      <alignment horizontal="right" vertical="center"/>
    </xf>
    <xf numFmtId="0" fontId="1" fillId="4" borderId="0" xfId="0" applyFont="1" applyFill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left" vertical="center"/>
    </xf>
    <xf numFmtId="0" fontId="11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center" vertical="center"/>
    </xf>
    <xf numFmtId="176" fontId="6" fillId="10" borderId="2" xfId="0" applyNumberFormat="1" applyFont="1" applyFill="1" applyBorder="1" applyAlignment="1">
      <alignment horizontal="right" vertical="center"/>
    </xf>
    <xf numFmtId="0" fontId="12" fillId="10" borderId="2" xfId="0" applyFont="1" applyFill="1" applyBorder="1" applyAlignment="1">
      <alignment horizontal="left" vertical="center"/>
    </xf>
    <xf numFmtId="3" fontId="6" fillId="10" borderId="2" xfId="0" applyNumberFormat="1" applyFont="1" applyFill="1" applyBorder="1" applyAlignment="1">
      <alignment horizontal="right" vertical="center"/>
    </xf>
    <xf numFmtId="0" fontId="11" fillId="11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left" vertical="center"/>
    </xf>
    <xf numFmtId="0" fontId="6" fillId="11" borderId="2" xfId="0" applyFont="1" applyFill="1" applyBorder="1" applyAlignment="1">
      <alignment horizontal="center" vertical="center"/>
    </xf>
    <xf numFmtId="176" fontId="6" fillId="11" borderId="2" xfId="0" applyNumberFormat="1" applyFont="1" applyFill="1" applyBorder="1" applyAlignment="1">
      <alignment horizontal="right" vertical="center"/>
    </xf>
    <xf numFmtId="0" fontId="12" fillId="11" borderId="2" xfId="0" applyFont="1" applyFill="1" applyBorder="1" applyAlignment="1">
      <alignment horizontal="left" vertical="center"/>
    </xf>
    <xf numFmtId="3" fontId="6" fillId="11" borderId="2" xfId="0" applyNumberFormat="1" applyFont="1" applyFill="1" applyBorder="1" applyAlignment="1">
      <alignment horizontal="right" vertical="center"/>
    </xf>
    <xf numFmtId="0" fontId="13" fillId="12" borderId="4" xfId="0" applyFont="1" applyFill="1" applyBorder="1" applyAlignment="1">
      <alignment horizontal="right" vertical="center"/>
    </xf>
    <xf numFmtId="0" fontId="0" fillId="12" borderId="4" xfId="0" applyFill="1" applyBorder="1"/>
    <xf numFmtId="4" fontId="14" fillId="12" borderId="4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2" fontId="6" fillId="11" borderId="2" xfId="0" applyNumberFormat="1" applyFont="1" applyFill="1" applyBorder="1" applyAlignment="1">
      <alignment horizontal="right" vertical="center"/>
    </xf>
    <xf numFmtId="0" fontId="3" fillId="13" borderId="0" xfId="0" applyFont="1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2" fontId="6" fillId="10" borderId="2" xfId="0" applyNumberFormat="1" applyFont="1" applyFill="1" applyBorder="1" applyAlignment="1">
      <alignment horizontal="right" vertical="center"/>
    </xf>
    <xf numFmtId="0" fontId="3" fillId="15" borderId="0" xfId="0" applyFont="1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3" fillId="17" borderId="0" xfId="0" applyFont="1" applyFill="1" applyAlignment="1">
      <alignment horizontal="left" vertical="center"/>
    </xf>
    <xf numFmtId="0" fontId="3" fillId="18" borderId="0" xfId="0" applyFont="1" applyFill="1" applyAlignment="1">
      <alignment horizontal="left" vertical="center"/>
    </xf>
    <xf numFmtId="0" fontId="9" fillId="19" borderId="3" xfId="0" applyFont="1" applyFill="1" applyBorder="1" applyAlignment="1">
      <alignment horizontal="right" vertical="center"/>
    </xf>
    <xf numFmtId="0" fontId="0" fillId="19" borderId="3" xfId="0" applyFill="1" applyBorder="1"/>
    <xf numFmtId="0" fontId="15" fillId="3" borderId="2" xfId="0" applyFont="1" applyFill="1" applyBorder="1" applyAlignment="1">
      <alignment horizontal="center" vertical="center"/>
    </xf>
    <xf numFmtId="0" fontId="0" fillId="0" borderId="2" xfId="0" applyBorder="1"/>
    <xf numFmtId="0" fontId="15" fillId="20" borderId="2" xfId="0" applyFont="1" applyFill="1" applyBorder="1" applyAlignment="1">
      <alignment horizontal="center" vertical="center"/>
    </xf>
    <xf numFmtId="0" fontId="15" fillId="21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6" fillId="22" borderId="2" xfId="0" applyFont="1" applyFill="1" applyBorder="1" applyAlignment="1">
      <alignment horizontal="center" vertical="center"/>
    </xf>
    <xf numFmtId="0" fontId="17" fillId="22" borderId="2" xfId="0" applyFont="1" applyFill="1" applyBorder="1" applyAlignment="1">
      <alignment horizontal="center" vertical="center"/>
    </xf>
    <xf numFmtId="0" fontId="18" fillId="8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right" vertical="center"/>
    </xf>
    <xf numFmtId="0" fontId="19" fillId="23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9" fillId="12" borderId="3" xfId="0" applyFont="1" applyFill="1" applyBorder="1" applyAlignment="1">
      <alignment horizontal="left" vertical="center"/>
    </xf>
    <xf numFmtId="0" fontId="5" fillId="12" borderId="3" xfId="0" applyFont="1" applyFill="1" applyBorder="1" applyAlignment="1">
      <alignment horizontal="center" vertical="center"/>
    </xf>
    <xf numFmtId="176" fontId="20" fillId="12" borderId="3" xfId="0" applyNumberFormat="1" applyFont="1" applyFill="1" applyBorder="1" applyAlignment="1">
      <alignment horizontal="right" vertical="center"/>
    </xf>
    <xf numFmtId="0" fontId="5" fillId="12" borderId="3" xfId="0" applyFont="1" applyFill="1" applyBorder="1" applyAlignment="1">
      <alignment horizontal="left" vertical="center"/>
    </xf>
    <xf numFmtId="0" fontId="5" fillId="24" borderId="2" xfId="0" applyFont="1" applyFill="1" applyBorder="1" applyAlignment="1">
      <alignment horizontal="left" vertical="center"/>
    </xf>
    <xf numFmtId="0" fontId="6" fillId="11" borderId="2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zoomScale="34" zoomScaleNormal="34" workbookViewId="0">
      <selection activeCell="A1" sqref="A1:H1"/>
    </sheetView>
  </sheetViews>
  <sheetFormatPr defaultColWidth="9" defaultRowHeight="14.5" outlineLevelCol="7"/>
  <cols>
    <col min="1" max="1" width="32" customWidth="1"/>
    <col min="2" max="2" width="14" customWidth="1"/>
    <col min="3" max="3" width="16" customWidth="1"/>
    <col min="4" max="5" width="14" customWidth="1"/>
    <col min="6" max="6" width="22" customWidth="1"/>
    <col min="7" max="7" width="20" customWidth="1"/>
    <col min="8" max="8" width="48" customWidth="1"/>
  </cols>
  <sheetData>
    <row r="1" ht="40" customHeight="1" spans="1:8">
      <c r="A1" s="17" t="s">
        <v>0</v>
      </c>
    </row>
    <row r="2" ht="24" customHeight="1" spans="1:8">
      <c r="A2" s="2" t="s">
        <v>1</v>
      </c>
    </row>
    <row r="4" ht="20" customHeight="1" spans="1:8">
      <c r="A4" s="46" t="s">
        <v>2</v>
      </c>
      <c r="B4" s="47"/>
      <c r="C4" s="48" t="s">
        <v>3</v>
      </c>
      <c r="D4" s="47"/>
      <c r="E4" s="49" t="s">
        <v>4</v>
      </c>
      <c r="F4" s="47"/>
      <c r="G4" s="50" t="s">
        <v>5</v>
      </c>
      <c r="H4" s="47"/>
    </row>
    <row r="5" ht="32" customHeight="1" spans="1:8">
      <c r="A5" s="51" t="s">
        <v>6</v>
      </c>
      <c r="B5" s="47"/>
      <c r="C5" s="51" t="s">
        <v>7</v>
      </c>
      <c r="D5" s="47"/>
      <c r="E5" s="51" t="s">
        <v>8</v>
      </c>
      <c r="F5" s="47"/>
      <c r="G5" s="51" t="s">
        <v>9</v>
      </c>
      <c r="H5" s="47"/>
    </row>
    <row r="6" ht="20" customHeight="1" spans="1:8">
      <c r="A6" s="52" t="s">
        <v>10</v>
      </c>
      <c r="B6" s="47"/>
      <c r="C6" s="52" t="s">
        <v>11</v>
      </c>
      <c r="D6" s="47"/>
      <c r="E6" s="52" t="s">
        <v>12</v>
      </c>
      <c r="F6" s="47"/>
      <c r="G6" s="52" t="s">
        <v>13</v>
      </c>
      <c r="H6" s="47"/>
    </row>
    <row r="8" ht="26" customHeight="1" spans="1:8">
      <c r="A8" s="53" t="s">
        <v>14</v>
      </c>
    </row>
    <row r="9" ht="25" customHeight="1" spans="1:8">
      <c r="A9" s="54" t="s">
        <v>15</v>
      </c>
      <c r="B9" s="55" t="s">
        <v>16</v>
      </c>
      <c r="C9" s="55" t="s">
        <v>17</v>
      </c>
      <c r="D9" s="55" t="s">
        <v>18</v>
      </c>
      <c r="E9" s="55" t="s">
        <v>19</v>
      </c>
      <c r="F9" s="56" t="s">
        <v>20</v>
      </c>
      <c r="G9" s="55" t="s">
        <v>21</v>
      </c>
      <c r="H9" s="54" t="s">
        <v>22</v>
      </c>
    </row>
    <row r="10" ht="22" customHeight="1" spans="1:8">
      <c r="A10" s="57" t="s">
        <v>23</v>
      </c>
      <c r="B10" s="58">
        <v>3</v>
      </c>
      <c r="C10" s="58">
        <v>0</v>
      </c>
      <c r="D10" s="58">
        <v>0</v>
      </c>
      <c r="E10" s="58">
        <v>0</v>
      </c>
      <c r="F10" s="59" t="e">
        <f>'📋 Complete Inventory Audit'!#REF!</f>
        <v>#REF!</v>
      </c>
      <c r="G10" s="60" t="s">
        <v>24</v>
      </c>
      <c r="H10" s="61" t="s">
        <v>25</v>
      </c>
    </row>
    <row r="11" ht="22" customHeight="1" spans="1:8">
      <c r="A11" s="57" t="s">
        <v>26</v>
      </c>
      <c r="B11" s="58">
        <v>2</v>
      </c>
      <c r="C11" s="58">
        <v>1</v>
      </c>
      <c r="D11" s="58">
        <v>0</v>
      </c>
      <c r="E11" s="58">
        <v>0</v>
      </c>
      <c r="F11" s="59" t="e">
        <f>'📋 Complete Inventory Audit'!#REF!</f>
        <v>#REF!</v>
      </c>
      <c r="G11" s="60" t="s">
        <v>27</v>
      </c>
      <c r="H11" s="61" t="s">
        <v>28</v>
      </c>
    </row>
    <row r="12" ht="22" customHeight="1" spans="1:8">
      <c r="A12" s="57" t="s">
        <v>29</v>
      </c>
      <c r="B12" s="58">
        <v>12</v>
      </c>
      <c r="C12" s="58">
        <v>12</v>
      </c>
      <c r="D12" s="58">
        <v>0</v>
      </c>
      <c r="E12" s="58">
        <v>0</v>
      </c>
      <c r="F12" s="59" t="e">
        <f>'📋 Complete Inventory Audit'!#REF!</f>
        <v>#REF!</v>
      </c>
      <c r="G12" s="60" t="s">
        <v>30</v>
      </c>
      <c r="H12" s="61" t="s">
        <v>31</v>
      </c>
    </row>
    <row r="13" ht="22" customHeight="1" spans="1:8">
      <c r="A13" s="57" t="s">
        <v>32</v>
      </c>
      <c r="B13" s="58">
        <v>7</v>
      </c>
      <c r="C13" s="58">
        <v>3</v>
      </c>
      <c r="D13" s="58">
        <v>2</v>
      </c>
      <c r="E13" s="58">
        <v>1</v>
      </c>
      <c r="F13" s="59" t="e">
        <f>'📋 Complete Inventory Audit'!#REF!</f>
        <v>#REF!</v>
      </c>
      <c r="G13" s="6" t="s">
        <v>33</v>
      </c>
      <c r="H13" s="61" t="s">
        <v>34</v>
      </c>
    </row>
    <row r="14" ht="22" customHeight="1" spans="1:8">
      <c r="A14" s="57" t="s">
        <v>35</v>
      </c>
      <c r="B14" s="58">
        <v>6</v>
      </c>
      <c r="C14" s="58">
        <v>0</v>
      </c>
      <c r="D14" s="58">
        <v>0</v>
      </c>
      <c r="E14" s="58">
        <v>0</v>
      </c>
      <c r="F14" s="59" t="e">
        <f>'📋 Complete Inventory Audit'!#REF!</f>
        <v>#REF!</v>
      </c>
      <c r="G14" s="12" t="s">
        <v>36</v>
      </c>
      <c r="H14" s="61" t="s">
        <v>37</v>
      </c>
    </row>
    <row r="15" ht="22" customHeight="1" spans="1:8">
      <c r="A15" s="57" t="s">
        <v>38</v>
      </c>
      <c r="B15" s="58">
        <v>7</v>
      </c>
      <c r="C15" s="58">
        <v>3</v>
      </c>
      <c r="D15" s="58">
        <v>0</v>
      </c>
      <c r="E15" s="58">
        <v>0</v>
      </c>
      <c r="F15" s="59" t="e">
        <f>'📋 Complete Inventory Audit'!#REF!</f>
        <v>#REF!</v>
      </c>
      <c r="G15" s="60" t="s">
        <v>39</v>
      </c>
      <c r="H15" s="61" t="s">
        <v>40</v>
      </c>
    </row>
    <row r="16" ht="22" customHeight="1" spans="1:8">
      <c r="A16" s="57" t="s">
        <v>41</v>
      </c>
      <c r="B16" s="58">
        <v>6</v>
      </c>
      <c r="C16" s="58">
        <v>6</v>
      </c>
      <c r="D16" s="58">
        <v>0</v>
      </c>
      <c r="E16" s="58">
        <v>0</v>
      </c>
      <c r="F16" s="59" t="e">
        <f>'📋 Complete Inventory Audit'!#REF!</f>
        <v>#REF!</v>
      </c>
      <c r="G16" s="60" t="s">
        <v>30</v>
      </c>
      <c r="H16" s="61" t="s">
        <v>42</v>
      </c>
    </row>
    <row r="17" ht="22" customHeight="1" spans="1:8">
      <c r="A17" s="57" t="s">
        <v>43</v>
      </c>
      <c r="B17" s="58">
        <v>5</v>
      </c>
      <c r="C17" s="58">
        <v>0</v>
      </c>
      <c r="D17" s="58">
        <v>3</v>
      </c>
      <c r="E17" s="58">
        <v>1</v>
      </c>
      <c r="F17" s="59" t="e">
        <f>'📋 Complete Inventory Audit'!#REF!</f>
        <v>#REF!</v>
      </c>
      <c r="G17" s="6" t="s">
        <v>44</v>
      </c>
      <c r="H17" s="61" t="s">
        <v>45</v>
      </c>
    </row>
    <row r="18" ht="22" customHeight="1" spans="1:8">
      <c r="A18" s="57" t="s">
        <v>46</v>
      </c>
      <c r="B18" s="58">
        <v>11</v>
      </c>
      <c r="C18" s="58">
        <v>3</v>
      </c>
      <c r="D18" s="58">
        <v>2</v>
      </c>
      <c r="E18" s="58">
        <v>1</v>
      </c>
      <c r="F18" s="59" t="e">
        <f>'📋 Complete Inventory Audit'!#REF!</f>
        <v>#REF!</v>
      </c>
      <c r="G18" s="6" t="s">
        <v>47</v>
      </c>
      <c r="H18" s="61" t="s">
        <v>48</v>
      </c>
    </row>
    <row r="19" ht="26" customHeight="1" spans="1:8">
      <c r="A19" s="62" t="s">
        <v>49</v>
      </c>
      <c r="B19" s="63">
        <f>SUM(B10:B18)</f>
        <v>59</v>
      </c>
      <c r="C19" s="63">
        <f>SUM(C10:C18)</f>
        <v>28</v>
      </c>
      <c r="D19" s="63">
        <f>SUM(D10:D18)</f>
        <v>7</v>
      </c>
      <c r="E19" s="63">
        <f>SUM(E10:E18)</f>
        <v>3</v>
      </c>
      <c r="F19" s="64" t="e">
        <f>SUM(F10:F18)</f>
        <v>#REF!</v>
      </c>
      <c r="G19" s="63" t="s">
        <v>50</v>
      </c>
      <c r="H19" s="65" t="s">
        <v>51</v>
      </c>
    </row>
    <row r="20" ht="24" customHeight="1" spans="1:8">
      <c r="A20" s="35" t="s">
        <v>52</v>
      </c>
    </row>
    <row r="21" ht="24" customHeight="1" spans="1:8">
      <c r="A21" s="66" t="s">
        <v>53</v>
      </c>
      <c r="B21" s="47"/>
      <c r="C21" s="67" t="s">
        <v>54</v>
      </c>
      <c r="D21" s="47"/>
      <c r="E21" s="47"/>
      <c r="F21" s="47"/>
      <c r="G21" s="47"/>
      <c r="H21" s="47"/>
    </row>
    <row r="22" ht="24" customHeight="1" spans="1:8">
      <c r="A22" s="66" t="s">
        <v>55</v>
      </c>
      <c r="B22" s="47"/>
      <c r="C22" s="67" t="s">
        <v>56</v>
      </c>
      <c r="D22" s="47"/>
      <c r="E22" s="47"/>
      <c r="F22" s="47"/>
      <c r="G22" s="47"/>
      <c r="H22" s="47"/>
    </row>
    <row r="23" ht="24" customHeight="1" spans="1:8">
      <c r="A23" s="66" t="s">
        <v>57</v>
      </c>
      <c r="B23" s="47"/>
      <c r="C23" s="67" t="s">
        <v>58</v>
      </c>
      <c r="D23" s="47"/>
      <c r="E23" s="47"/>
      <c r="F23" s="47"/>
      <c r="G23" s="47"/>
      <c r="H23" s="47"/>
    </row>
    <row r="24" ht="24" customHeight="1" spans="1:8">
      <c r="A24" s="66" t="s">
        <v>59</v>
      </c>
      <c r="B24" s="47"/>
      <c r="C24" s="67" t="s">
        <v>60</v>
      </c>
      <c r="D24" s="47"/>
      <c r="E24" s="47"/>
      <c r="F24" s="47"/>
      <c r="G24" s="47"/>
      <c r="H24" s="47"/>
    </row>
    <row r="25" ht="24" customHeight="1" spans="1:8">
      <c r="A25" s="66" t="s">
        <v>61</v>
      </c>
      <c r="B25" s="47"/>
      <c r="C25" s="67" t="s">
        <v>62</v>
      </c>
      <c r="D25" s="47"/>
      <c r="E25" s="47"/>
      <c r="F25" s="47"/>
      <c r="G25" s="47"/>
      <c r="H25" s="47"/>
    </row>
    <row r="26" ht="24" customHeight="1" spans="1:8">
      <c r="A26" s="66" t="s">
        <v>63</v>
      </c>
      <c r="B26" s="47"/>
      <c r="C26" s="67" t="s">
        <v>64</v>
      </c>
      <c r="D26" s="47"/>
      <c r="E26" s="47"/>
      <c r="F26" s="47"/>
      <c r="G26" s="47"/>
      <c r="H26" s="47"/>
    </row>
  </sheetData>
  <mergeCells count="28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8:H8"/>
    <mergeCell ref="A20:H20"/>
    <mergeCell ref="A21:B21"/>
    <mergeCell ref="C21:H21"/>
    <mergeCell ref="A22:B22"/>
    <mergeCell ref="C22:H22"/>
    <mergeCell ref="A23:B23"/>
    <mergeCell ref="C23:H23"/>
    <mergeCell ref="A24:B24"/>
    <mergeCell ref="C24:H24"/>
    <mergeCell ref="A25:B25"/>
    <mergeCell ref="C25:H25"/>
    <mergeCell ref="A26:B26"/>
    <mergeCell ref="C26:H2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1"/>
  <sheetViews>
    <sheetView tabSelected="1" zoomScale="50" zoomScaleNormal="50" workbookViewId="0">
      <pane ySplit="3" topLeftCell="A60" activePane="bottomLeft" state="frozen"/>
      <selection/>
      <selection pane="bottomLeft" activeCell="H66" sqref="H66"/>
    </sheetView>
  </sheetViews>
  <sheetFormatPr defaultColWidth="9" defaultRowHeight="14.5" outlineLevelCol="5"/>
  <cols>
    <col min="1" max="1" width="12" customWidth="1"/>
    <col min="2" max="2" width="36" customWidth="1"/>
    <col min="3" max="3" width="12" customWidth="1"/>
    <col min="4" max="4" width="14" customWidth="1"/>
    <col min="5" max="5" width="26" customWidth="1"/>
    <col min="6" max="6" width="18" customWidth="1"/>
  </cols>
  <sheetData>
    <row r="1" ht="36" customHeight="1" spans="1:6">
      <c r="A1" s="17" t="s">
        <v>65</v>
      </c>
    </row>
    <row r="3" ht="37" customHeight="1" spans="1:6">
      <c r="A3" s="18" t="s">
        <v>66</v>
      </c>
      <c r="B3" s="18" t="s">
        <v>67</v>
      </c>
      <c r="C3" s="18" t="s">
        <v>68</v>
      </c>
      <c r="D3" s="18" t="s">
        <v>69</v>
      </c>
      <c r="E3" s="18" t="s">
        <v>70</v>
      </c>
      <c r="F3" s="18" t="s">
        <v>71</v>
      </c>
    </row>
    <row r="4" ht="24" customHeight="1" spans="1:6">
      <c r="A4" s="19" t="s">
        <v>72</v>
      </c>
    </row>
    <row r="5" ht="22" customHeight="1" spans="1:6">
      <c r="A5" s="20" t="s">
        <v>73</v>
      </c>
      <c r="B5" s="21" t="s">
        <v>74</v>
      </c>
      <c r="C5" s="22" t="s">
        <v>75</v>
      </c>
      <c r="D5" s="23">
        <v>2.8</v>
      </c>
      <c r="E5" s="24" t="s">
        <v>76</v>
      </c>
      <c r="F5" s="25">
        <v>710</v>
      </c>
    </row>
    <row r="6" ht="22" customHeight="1" spans="1:6">
      <c r="A6" s="26" t="s">
        <v>77</v>
      </c>
      <c r="B6" s="27" t="s">
        <v>78</v>
      </c>
      <c r="C6" s="28" t="s">
        <v>75</v>
      </c>
      <c r="D6" s="29">
        <v>2.8</v>
      </c>
      <c r="E6" s="30" t="s">
        <v>79</v>
      </c>
      <c r="F6" s="31">
        <v>625</v>
      </c>
    </row>
    <row r="7" ht="22" customHeight="1" spans="1:6">
      <c r="A7" s="20" t="s">
        <v>80</v>
      </c>
      <c r="B7" s="21" t="s">
        <v>81</v>
      </c>
      <c r="C7" s="22" t="s">
        <v>75</v>
      </c>
      <c r="D7" s="23">
        <v>2.4</v>
      </c>
      <c r="E7" s="24" t="s">
        <v>82</v>
      </c>
      <c r="F7" s="25">
        <v>925</v>
      </c>
    </row>
    <row r="8" ht="22" customHeight="1" spans="1:6">
      <c r="A8" s="32" t="s">
        <v>83</v>
      </c>
      <c r="B8" s="33"/>
      <c r="C8" s="33"/>
      <c r="D8" s="33"/>
      <c r="E8" s="33"/>
      <c r="F8" s="34">
        <f>SUM(F5:F7)</f>
        <v>2260</v>
      </c>
    </row>
    <row r="9" ht="24" customHeight="1" spans="1:6">
      <c r="A9" s="35" t="s">
        <v>84</v>
      </c>
    </row>
    <row r="10" ht="22" customHeight="1" spans="1:6">
      <c r="A10" s="26" t="s">
        <v>85</v>
      </c>
      <c r="B10" s="27" t="s">
        <v>86</v>
      </c>
      <c r="C10" s="28" t="s">
        <v>87</v>
      </c>
      <c r="D10" s="29">
        <v>980</v>
      </c>
      <c r="E10" s="30" t="s">
        <v>88</v>
      </c>
      <c r="F10" s="36">
        <v>5.932</v>
      </c>
    </row>
    <row r="11" ht="22" customHeight="1" spans="1:6">
      <c r="A11" s="20" t="s">
        <v>89</v>
      </c>
      <c r="B11" s="21" t="s">
        <v>90</v>
      </c>
      <c r="C11" s="22" t="s">
        <v>87</v>
      </c>
      <c r="D11" s="23">
        <v>204</v>
      </c>
      <c r="E11" s="24" t="s">
        <v>91</v>
      </c>
      <c r="F11" s="25">
        <v>1</v>
      </c>
    </row>
    <row r="12" ht="22" customHeight="1" spans="1:6">
      <c r="A12" s="32" t="s">
        <v>92</v>
      </c>
      <c r="B12" s="33"/>
      <c r="C12" s="33"/>
      <c r="D12" s="33"/>
      <c r="E12" s="33"/>
      <c r="F12" s="34">
        <f>SUM(F10:F11)</f>
        <v>6.932</v>
      </c>
    </row>
    <row r="13" ht="24" customHeight="1" spans="1:6">
      <c r="A13" s="37" t="s">
        <v>93</v>
      </c>
    </row>
    <row r="14" ht="22" customHeight="1" spans="1:6">
      <c r="A14" s="26" t="s">
        <v>94</v>
      </c>
      <c r="B14" s="27" t="s">
        <v>95</v>
      </c>
      <c r="C14" s="28" t="s">
        <v>96</v>
      </c>
      <c r="D14" s="29">
        <v>550</v>
      </c>
      <c r="E14" s="30" t="s">
        <v>97</v>
      </c>
      <c r="F14" s="31">
        <v>1</v>
      </c>
    </row>
    <row r="15" ht="22" customHeight="1" spans="1:6">
      <c r="A15" s="20" t="s">
        <v>98</v>
      </c>
      <c r="B15" s="21" t="s">
        <v>99</v>
      </c>
      <c r="C15" s="22" t="s">
        <v>96</v>
      </c>
      <c r="D15" s="23">
        <v>550</v>
      </c>
      <c r="E15" s="24" t="s">
        <v>100</v>
      </c>
      <c r="F15" s="25">
        <v>1</v>
      </c>
    </row>
    <row r="16" ht="22" customHeight="1" spans="1:6">
      <c r="A16" s="26" t="s">
        <v>101</v>
      </c>
      <c r="B16" s="27" t="s">
        <v>102</v>
      </c>
      <c r="C16" s="28" t="s">
        <v>96</v>
      </c>
      <c r="D16" s="29">
        <v>550</v>
      </c>
      <c r="E16" s="30" t="s">
        <v>100</v>
      </c>
      <c r="F16" s="31">
        <v>1</v>
      </c>
    </row>
    <row r="17" ht="22" customHeight="1" spans="1:6">
      <c r="A17" s="20" t="s">
        <v>103</v>
      </c>
      <c r="B17" s="21" t="s">
        <v>104</v>
      </c>
      <c r="C17" s="22" t="s">
        <v>96</v>
      </c>
      <c r="D17" s="23">
        <v>550</v>
      </c>
      <c r="E17" s="24" t="s">
        <v>100</v>
      </c>
      <c r="F17" s="25">
        <v>1</v>
      </c>
    </row>
    <row r="18" ht="22" customHeight="1" spans="1:6">
      <c r="A18" s="26" t="s">
        <v>105</v>
      </c>
      <c r="B18" s="27" t="s">
        <v>106</v>
      </c>
      <c r="C18" s="28" t="s">
        <v>96</v>
      </c>
      <c r="D18" s="29">
        <v>550</v>
      </c>
      <c r="E18" s="30" t="s">
        <v>97</v>
      </c>
      <c r="F18" s="31">
        <v>1</v>
      </c>
    </row>
    <row r="19" ht="22" customHeight="1" spans="1:6">
      <c r="A19" s="20" t="s">
        <v>107</v>
      </c>
      <c r="B19" s="21" t="s">
        <v>108</v>
      </c>
      <c r="C19" s="22" t="s">
        <v>96</v>
      </c>
      <c r="D19" s="23">
        <v>550</v>
      </c>
      <c r="E19" s="24" t="s">
        <v>100</v>
      </c>
      <c r="F19" s="25">
        <v>1</v>
      </c>
    </row>
    <row r="20" ht="22" customHeight="1" spans="1:6">
      <c r="A20" s="26" t="s">
        <v>109</v>
      </c>
      <c r="B20" s="27" t="s">
        <v>110</v>
      </c>
      <c r="C20" s="28" t="s">
        <v>96</v>
      </c>
      <c r="D20" s="29">
        <v>550</v>
      </c>
      <c r="E20" s="30" t="s">
        <v>100</v>
      </c>
      <c r="F20" s="31">
        <v>1</v>
      </c>
    </row>
    <row r="21" ht="22" customHeight="1" spans="1:6">
      <c r="A21" s="20" t="s">
        <v>111</v>
      </c>
      <c r="B21" s="21" t="s">
        <v>112</v>
      </c>
      <c r="C21" s="22" t="s">
        <v>96</v>
      </c>
      <c r="D21" s="23">
        <v>550</v>
      </c>
      <c r="E21" s="24" t="s">
        <v>100</v>
      </c>
      <c r="F21" s="25">
        <v>1</v>
      </c>
    </row>
    <row r="22" ht="22" customHeight="1" spans="1:6">
      <c r="A22" s="26" t="s">
        <v>113</v>
      </c>
      <c r="B22" s="27" t="s">
        <v>114</v>
      </c>
      <c r="C22" s="28" t="s">
        <v>96</v>
      </c>
      <c r="D22" s="29">
        <v>550</v>
      </c>
      <c r="E22" s="30" t="s">
        <v>100</v>
      </c>
      <c r="F22" s="31">
        <v>1</v>
      </c>
    </row>
    <row r="23" ht="22" customHeight="1" spans="1:6">
      <c r="A23" s="20" t="s">
        <v>115</v>
      </c>
      <c r="B23" s="21" t="s">
        <v>116</v>
      </c>
      <c r="C23" s="22" t="s">
        <v>117</v>
      </c>
      <c r="D23" s="23">
        <v>950</v>
      </c>
      <c r="E23" s="24" t="s">
        <v>118</v>
      </c>
      <c r="F23" s="25">
        <v>1</v>
      </c>
    </row>
    <row r="24" ht="22" customHeight="1" spans="1:6">
      <c r="A24" s="26" t="s">
        <v>119</v>
      </c>
      <c r="B24" s="27" t="s">
        <v>120</v>
      </c>
      <c r="C24" s="28" t="s">
        <v>117</v>
      </c>
      <c r="D24" s="29">
        <v>950</v>
      </c>
      <c r="E24" s="30" t="s">
        <v>118</v>
      </c>
      <c r="F24" s="31">
        <v>1</v>
      </c>
    </row>
    <row r="25" ht="22" customHeight="1" spans="1:6">
      <c r="A25" s="20" t="s">
        <v>121</v>
      </c>
      <c r="B25" s="21" t="s">
        <v>122</v>
      </c>
      <c r="C25" s="22" t="s">
        <v>117</v>
      </c>
      <c r="D25" s="23">
        <v>950</v>
      </c>
      <c r="E25" s="24" t="s">
        <v>123</v>
      </c>
      <c r="F25" s="25">
        <v>1</v>
      </c>
    </row>
    <row r="26" ht="22" customHeight="1" spans="1:6">
      <c r="A26" s="32" t="s">
        <v>124</v>
      </c>
      <c r="B26" s="33"/>
      <c r="C26" s="33"/>
      <c r="D26" s="33"/>
      <c r="E26" s="33"/>
      <c r="F26" s="34">
        <f>SUM(F14:F25)</f>
        <v>12</v>
      </c>
    </row>
    <row r="27" ht="24" customHeight="1" spans="1:6">
      <c r="A27" s="38" t="s">
        <v>125</v>
      </c>
    </row>
    <row r="28" ht="22" customHeight="1" spans="1:6">
      <c r="A28" s="26" t="s">
        <v>126</v>
      </c>
      <c r="B28" s="27" t="s">
        <v>127</v>
      </c>
      <c r="C28" s="28" t="s">
        <v>128</v>
      </c>
      <c r="D28" s="29">
        <v>890</v>
      </c>
      <c r="E28" s="30" t="s">
        <v>129</v>
      </c>
      <c r="F28" s="36">
        <v>-0.08</v>
      </c>
    </row>
    <row r="29" ht="22" customHeight="1" spans="1:6">
      <c r="A29" s="20" t="s">
        <v>130</v>
      </c>
      <c r="B29" s="21" t="s">
        <v>131</v>
      </c>
      <c r="C29" s="22" t="s">
        <v>128</v>
      </c>
      <c r="D29" s="23">
        <v>690</v>
      </c>
      <c r="E29" s="24" t="s">
        <v>132</v>
      </c>
      <c r="F29" s="25">
        <v>1</v>
      </c>
    </row>
    <row r="30" ht="22" customHeight="1" spans="1:6">
      <c r="A30" s="26" t="s">
        <v>133</v>
      </c>
      <c r="B30" s="27" t="s">
        <v>134</v>
      </c>
      <c r="C30" s="28" t="s">
        <v>128</v>
      </c>
      <c r="D30" s="29">
        <v>890</v>
      </c>
      <c r="E30" s="30" t="s">
        <v>135</v>
      </c>
      <c r="F30" s="36">
        <v>0.18</v>
      </c>
    </row>
    <row r="31" ht="22" customHeight="1" spans="1:6">
      <c r="A31" s="20" t="s">
        <v>136</v>
      </c>
      <c r="B31" s="21" t="s">
        <v>137</v>
      </c>
      <c r="C31" s="22" t="s">
        <v>128</v>
      </c>
      <c r="D31" s="23">
        <v>690</v>
      </c>
      <c r="E31" s="24" t="s">
        <v>138</v>
      </c>
      <c r="F31" s="39">
        <v>-0.21</v>
      </c>
    </row>
    <row r="32" ht="22" customHeight="1" spans="1:6">
      <c r="A32" s="26" t="s">
        <v>139</v>
      </c>
      <c r="B32" s="27" t="s">
        <v>140</v>
      </c>
      <c r="C32" s="28" t="s">
        <v>128</v>
      </c>
      <c r="D32" s="29">
        <v>690</v>
      </c>
      <c r="E32" s="30" t="s">
        <v>132</v>
      </c>
      <c r="F32" s="36">
        <v>0.75</v>
      </c>
    </row>
    <row r="33" ht="22" customHeight="1" spans="1:6">
      <c r="A33" s="20" t="s">
        <v>141</v>
      </c>
      <c r="B33" s="21" t="s">
        <v>142</v>
      </c>
      <c r="C33" s="22" t="s">
        <v>128</v>
      </c>
      <c r="D33" s="23">
        <v>690</v>
      </c>
      <c r="E33" s="24" t="s">
        <v>138</v>
      </c>
      <c r="F33" s="39">
        <v>0.76</v>
      </c>
    </row>
    <row r="34" ht="22" customHeight="1" spans="1:6">
      <c r="A34" s="26" t="s">
        <v>143</v>
      </c>
      <c r="B34" s="27" t="s">
        <v>144</v>
      </c>
      <c r="C34" s="28" t="s">
        <v>128</v>
      </c>
      <c r="D34" s="29">
        <v>890</v>
      </c>
      <c r="E34" s="30" t="s">
        <v>145</v>
      </c>
      <c r="F34" s="36">
        <v>0.25</v>
      </c>
    </row>
    <row r="35" ht="22" customHeight="1" spans="1:6">
      <c r="A35" s="32" t="s">
        <v>146</v>
      </c>
      <c r="B35" s="33"/>
      <c r="C35" s="33"/>
      <c r="D35" s="33"/>
      <c r="E35" s="33"/>
      <c r="F35" s="34">
        <f>SUM(F28:F34)</f>
        <v>2.65</v>
      </c>
    </row>
    <row r="36" ht="24" customHeight="1" spans="1:6">
      <c r="A36" s="40" t="s">
        <v>147</v>
      </c>
    </row>
    <row r="37" ht="22" customHeight="1" spans="1:6">
      <c r="A37" s="20" t="s">
        <v>148</v>
      </c>
      <c r="B37" s="21" t="s">
        <v>149</v>
      </c>
      <c r="C37" s="22" t="s">
        <v>150</v>
      </c>
      <c r="D37" s="23">
        <v>0.86</v>
      </c>
      <c r="E37" s="24" t="s">
        <v>151</v>
      </c>
      <c r="F37" s="25">
        <v>250</v>
      </c>
    </row>
    <row r="38" ht="22" customHeight="1" spans="1:6">
      <c r="A38" s="26" t="s">
        <v>152</v>
      </c>
      <c r="B38" s="27" t="s">
        <v>153</v>
      </c>
      <c r="C38" s="28" t="s">
        <v>150</v>
      </c>
      <c r="D38" s="29">
        <v>0.86</v>
      </c>
      <c r="E38" s="30" t="s">
        <v>154</v>
      </c>
      <c r="F38" s="31">
        <v>250</v>
      </c>
    </row>
    <row r="39" ht="22" customHeight="1" spans="1:6">
      <c r="A39" s="20" t="s">
        <v>155</v>
      </c>
      <c r="B39" s="21" t="s">
        <v>156</v>
      </c>
      <c r="C39" s="22" t="s">
        <v>75</v>
      </c>
      <c r="D39" s="23">
        <v>6</v>
      </c>
      <c r="E39" s="24" t="s">
        <v>157</v>
      </c>
      <c r="F39" s="25">
        <v>32</v>
      </c>
    </row>
    <row r="40" ht="22" customHeight="1" spans="1:6">
      <c r="A40" s="26" t="s">
        <v>158</v>
      </c>
      <c r="B40" s="27" t="s">
        <v>159</v>
      </c>
      <c r="C40" s="28" t="s">
        <v>160</v>
      </c>
      <c r="D40" s="29">
        <v>94</v>
      </c>
      <c r="E40" s="30" t="s">
        <v>161</v>
      </c>
      <c r="F40" s="31">
        <v>10</v>
      </c>
    </row>
    <row r="41" ht="22" customHeight="1" spans="1:6">
      <c r="A41" s="20" t="s">
        <v>162</v>
      </c>
      <c r="B41" s="21" t="s">
        <v>163</v>
      </c>
      <c r="C41" s="22" t="s">
        <v>150</v>
      </c>
      <c r="D41" s="23">
        <v>0.415</v>
      </c>
      <c r="E41" s="24" t="s">
        <v>164</v>
      </c>
      <c r="F41" s="25">
        <v>1000</v>
      </c>
    </row>
    <row r="42" ht="22" customHeight="1" spans="1:6">
      <c r="A42" s="26" t="s">
        <v>165</v>
      </c>
      <c r="B42" s="27" t="s">
        <v>166</v>
      </c>
      <c r="C42" s="28" t="s">
        <v>167</v>
      </c>
      <c r="D42" s="29">
        <v>44</v>
      </c>
      <c r="E42" s="30" t="s">
        <v>168</v>
      </c>
      <c r="F42" s="36">
        <v>18.74</v>
      </c>
    </row>
    <row r="43" ht="22" customHeight="1" spans="1:6">
      <c r="A43" s="32" t="s">
        <v>169</v>
      </c>
      <c r="B43" s="33"/>
      <c r="C43" s="33"/>
      <c r="D43" s="33"/>
      <c r="E43" s="33"/>
      <c r="F43" s="34">
        <f>SUM(F37:F42)</f>
        <v>1560.74</v>
      </c>
    </row>
    <row r="44" ht="24" customHeight="1" spans="1:6">
      <c r="A44" s="41" t="s">
        <v>170</v>
      </c>
    </row>
    <row r="45" ht="22" customHeight="1" spans="1:6">
      <c r="A45" s="20" t="s">
        <v>171</v>
      </c>
      <c r="B45" s="21" t="s">
        <v>172</v>
      </c>
      <c r="C45" s="22" t="s">
        <v>150</v>
      </c>
      <c r="D45" s="23">
        <v>0.385</v>
      </c>
      <c r="E45" s="24" t="s">
        <v>173</v>
      </c>
      <c r="F45" s="25">
        <v>454</v>
      </c>
    </row>
    <row r="46" ht="22" customHeight="1" spans="1:6">
      <c r="A46" s="26" t="s">
        <v>174</v>
      </c>
      <c r="B46" s="27" t="s">
        <v>175</v>
      </c>
      <c r="C46" s="28" t="s">
        <v>150</v>
      </c>
      <c r="D46" s="29">
        <v>0.305</v>
      </c>
      <c r="E46" s="30" t="s">
        <v>176</v>
      </c>
      <c r="F46" s="31">
        <v>1000</v>
      </c>
    </row>
    <row r="47" ht="22" customHeight="1" spans="1:6">
      <c r="A47" s="20" t="s">
        <v>177</v>
      </c>
      <c r="B47" s="21" t="s">
        <v>178</v>
      </c>
      <c r="C47" s="22" t="s">
        <v>150</v>
      </c>
      <c r="D47" s="23">
        <v>1.2</v>
      </c>
      <c r="E47" s="24" t="s">
        <v>179</v>
      </c>
      <c r="F47" s="25">
        <v>100</v>
      </c>
    </row>
    <row r="48" ht="22" customHeight="1" spans="1:6">
      <c r="A48" s="26" t="s">
        <v>180</v>
      </c>
      <c r="B48" s="27" t="s">
        <v>181</v>
      </c>
      <c r="C48" s="28" t="s">
        <v>150</v>
      </c>
      <c r="D48" s="29">
        <v>0.733</v>
      </c>
      <c r="E48" s="30" t="s">
        <v>182</v>
      </c>
      <c r="F48" s="31">
        <v>600</v>
      </c>
    </row>
    <row r="49" ht="22" customHeight="1" spans="1:6">
      <c r="A49" s="20" t="s">
        <v>183</v>
      </c>
      <c r="B49" s="21" t="s">
        <v>184</v>
      </c>
      <c r="C49" s="22" t="s">
        <v>150</v>
      </c>
      <c r="D49" s="23">
        <v>1.28</v>
      </c>
      <c r="E49" s="24" t="s">
        <v>185</v>
      </c>
      <c r="F49" s="25">
        <v>600</v>
      </c>
    </row>
    <row r="50" ht="22" customHeight="1" spans="1:6">
      <c r="A50" s="26" t="s">
        <v>186</v>
      </c>
      <c r="B50" s="27" t="s">
        <v>187</v>
      </c>
      <c r="C50" s="28" t="s">
        <v>150</v>
      </c>
      <c r="D50" s="29">
        <v>0.396</v>
      </c>
      <c r="E50" s="30" t="s">
        <v>188</v>
      </c>
      <c r="F50" s="31">
        <v>1000</v>
      </c>
    </row>
    <row r="51" ht="22" customHeight="1" spans="1:6">
      <c r="A51" s="20" t="s">
        <v>189</v>
      </c>
      <c r="B51" s="21" t="s">
        <v>190</v>
      </c>
      <c r="C51" s="22" t="s">
        <v>150</v>
      </c>
      <c r="D51" s="23">
        <v>0.4</v>
      </c>
      <c r="E51" s="24" t="s">
        <v>191</v>
      </c>
      <c r="F51" s="25">
        <v>500</v>
      </c>
    </row>
    <row r="52" ht="22" customHeight="1" spans="1:6">
      <c r="A52" s="32" t="s">
        <v>192</v>
      </c>
      <c r="B52" s="33"/>
      <c r="C52" s="33"/>
      <c r="D52" s="33"/>
      <c r="E52" s="33"/>
      <c r="F52" s="34">
        <f>SUM(F45:F51)</f>
        <v>4254</v>
      </c>
    </row>
    <row r="53" ht="24" customHeight="1" spans="1:6">
      <c r="A53" s="42" t="s">
        <v>193</v>
      </c>
    </row>
    <row r="54" ht="22" customHeight="1" spans="1:6">
      <c r="A54" s="26" t="s">
        <v>194</v>
      </c>
      <c r="B54" s="27" t="s">
        <v>195</v>
      </c>
      <c r="C54" s="28" t="s">
        <v>196</v>
      </c>
      <c r="D54" s="29">
        <v>45</v>
      </c>
      <c r="E54" s="30" t="s">
        <v>197</v>
      </c>
      <c r="F54" s="31">
        <v>100</v>
      </c>
    </row>
    <row r="55" ht="22" customHeight="1" spans="1:6">
      <c r="A55" s="20" t="s">
        <v>198</v>
      </c>
      <c r="B55" s="21" t="s">
        <v>199</v>
      </c>
      <c r="C55" s="22" t="s">
        <v>196</v>
      </c>
      <c r="D55" s="23">
        <v>45</v>
      </c>
      <c r="E55" s="24" t="s">
        <v>200</v>
      </c>
      <c r="F55" s="25">
        <v>91</v>
      </c>
    </row>
    <row r="56" ht="22" customHeight="1" spans="1:6">
      <c r="A56" s="26" t="s">
        <v>201</v>
      </c>
      <c r="B56" s="27" t="s">
        <v>202</v>
      </c>
      <c r="C56" s="28" t="s">
        <v>196</v>
      </c>
      <c r="D56" s="29">
        <v>45</v>
      </c>
      <c r="E56" s="30" t="s">
        <v>203</v>
      </c>
      <c r="F56" s="31">
        <v>98</v>
      </c>
    </row>
    <row r="57" ht="22" customHeight="1" spans="1:6">
      <c r="A57" s="20" t="s">
        <v>204</v>
      </c>
      <c r="B57" s="21" t="s">
        <v>205</v>
      </c>
      <c r="C57" s="22" t="s">
        <v>196</v>
      </c>
      <c r="D57" s="23">
        <v>45</v>
      </c>
      <c r="E57" s="24" t="s">
        <v>197</v>
      </c>
      <c r="F57" s="25">
        <v>100</v>
      </c>
    </row>
    <row r="58" ht="22" customHeight="1" spans="1:6">
      <c r="A58" s="26" t="s">
        <v>206</v>
      </c>
      <c r="B58" s="27" t="s">
        <v>207</v>
      </c>
      <c r="C58" s="28" t="s">
        <v>196</v>
      </c>
      <c r="D58" s="29">
        <v>45</v>
      </c>
      <c r="E58" s="30" t="s">
        <v>197</v>
      </c>
      <c r="F58" s="31">
        <v>100</v>
      </c>
    </row>
    <row r="59" ht="22" customHeight="1" spans="1:6">
      <c r="A59" s="20" t="s">
        <v>208</v>
      </c>
      <c r="B59" s="21" t="s">
        <v>209</v>
      </c>
      <c r="C59" s="22" t="s">
        <v>196</v>
      </c>
      <c r="D59" s="23">
        <v>45</v>
      </c>
      <c r="E59" s="24" t="s">
        <v>197</v>
      </c>
      <c r="F59" s="25">
        <v>100</v>
      </c>
    </row>
    <row r="60" ht="22" customHeight="1" spans="1:6">
      <c r="A60" s="32" t="s">
        <v>210</v>
      </c>
      <c r="B60" s="33"/>
      <c r="C60" s="33"/>
      <c r="D60" s="33"/>
      <c r="E60" s="33"/>
      <c r="F60" s="34">
        <f>SUM(F54:F59)</f>
        <v>589</v>
      </c>
    </row>
    <row r="61" ht="24" customHeight="1" spans="1:6">
      <c r="A61" s="43" t="s">
        <v>211</v>
      </c>
    </row>
    <row r="62" ht="22" customHeight="1" spans="1:6">
      <c r="A62" s="26" t="s">
        <v>212</v>
      </c>
      <c r="B62" s="27" t="s">
        <v>213</v>
      </c>
      <c r="C62" s="28" t="s">
        <v>167</v>
      </c>
      <c r="D62" s="29">
        <v>98</v>
      </c>
      <c r="E62" s="30" t="s">
        <v>214</v>
      </c>
      <c r="F62" s="31">
        <v>3</v>
      </c>
    </row>
    <row r="63" ht="22" customHeight="1" spans="1:6">
      <c r="A63" s="20" t="s">
        <v>215</v>
      </c>
      <c r="B63" s="21" t="s">
        <v>216</v>
      </c>
      <c r="C63" s="22" t="s">
        <v>167</v>
      </c>
      <c r="D63" s="23">
        <v>98</v>
      </c>
      <c r="E63" s="24" t="s">
        <v>214</v>
      </c>
      <c r="F63" s="25">
        <v>2</v>
      </c>
    </row>
    <row r="64" ht="22" customHeight="1" spans="1:6">
      <c r="A64" s="26" t="s">
        <v>217</v>
      </c>
      <c r="B64" s="27" t="s">
        <v>218</v>
      </c>
      <c r="C64" s="28" t="s">
        <v>167</v>
      </c>
      <c r="D64" s="29">
        <v>98</v>
      </c>
      <c r="E64" s="30" t="s">
        <v>129</v>
      </c>
      <c r="F64" s="31">
        <v>0</v>
      </c>
    </row>
    <row r="65" ht="22" customHeight="1" spans="1:6">
      <c r="A65" s="20" t="s">
        <v>219</v>
      </c>
      <c r="B65" s="21" t="s">
        <v>220</v>
      </c>
      <c r="C65" s="22" t="s">
        <v>221</v>
      </c>
      <c r="D65" s="23">
        <v>98</v>
      </c>
      <c r="E65" s="24" t="s">
        <v>214</v>
      </c>
      <c r="F65" s="25">
        <v>3</v>
      </c>
    </row>
    <row r="66" ht="22" customHeight="1" spans="1:6">
      <c r="A66" s="26" t="s">
        <v>222</v>
      </c>
      <c r="B66" s="27" t="s">
        <v>223</v>
      </c>
      <c r="C66" s="28" t="s">
        <v>224</v>
      </c>
      <c r="D66" s="29">
        <v>85</v>
      </c>
      <c r="E66" s="30" t="s">
        <v>225</v>
      </c>
      <c r="F66" s="31">
        <v>32</v>
      </c>
    </row>
    <row r="67" ht="22" customHeight="1" spans="1:6">
      <c r="A67" s="32" t="s">
        <v>226</v>
      </c>
      <c r="B67" s="33"/>
      <c r="C67" s="33"/>
      <c r="D67" s="33"/>
      <c r="E67" s="33"/>
      <c r="F67" s="34">
        <f>SUM(F62:F66)</f>
        <v>40</v>
      </c>
    </row>
    <row r="68" ht="24" customHeight="1" spans="1:6">
      <c r="A68" s="38" t="s">
        <v>227</v>
      </c>
    </row>
    <row r="69" ht="22" customHeight="1" spans="1:6">
      <c r="A69" s="20" t="s">
        <v>228</v>
      </c>
      <c r="B69" s="21" t="s">
        <v>229</v>
      </c>
      <c r="C69" s="22" t="s">
        <v>167</v>
      </c>
      <c r="D69" s="23">
        <v>35</v>
      </c>
      <c r="E69" s="24" t="s">
        <v>230</v>
      </c>
      <c r="F69" s="25">
        <v>17</v>
      </c>
    </row>
    <row r="70" ht="22" customHeight="1" spans="1:6">
      <c r="A70" s="26" t="s">
        <v>231</v>
      </c>
      <c r="B70" s="27" t="s">
        <v>232</v>
      </c>
      <c r="C70" s="28" t="s">
        <v>167</v>
      </c>
      <c r="D70" s="29">
        <v>35</v>
      </c>
      <c r="E70" s="30" t="s">
        <v>233</v>
      </c>
      <c r="F70" s="31">
        <v>23</v>
      </c>
    </row>
    <row r="71" ht="22" customHeight="1" spans="1:6">
      <c r="A71" s="20" t="s">
        <v>234</v>
      </c>
      <c r="B71" s="21" t="s">
        <v>235</v>
      </c>
      <c r="C71" s="22" t="s">
        <v>167</v>
      </c>
      <c r="D71" s="23">
        <v>35</v>
      </c>
      <c r="E71" s="24" t="s">
        <v>236</v>
      </c>
      <c r="F71" s="25">
        <v>18</v>
      </c>
    </row>
    <row r="72" ht="22" customHeight="1" spans="1:6">
      <c r="A72" s="26" t="s">
        <v>237</v>
      </c>
      <c r="B72" s="27" t="s">
        <v>238</v>
      </c>
      <c r="C72" s="28" t="s">
        <v>160</v>
      </c>
      <c r="D72" s="29">
        <v>69.5</v>
      </c>
      <c r="E72" s="30" t="s">
        <v>239</v>
      </c>
      <c r="F72" s="31">
        <v>2</v>
      </c>
    </row>
    <row r="73" ht="22" customHeight="1" spans="1:6">
      <c r="A73" s="20" t="s">
        <v>240</v>
      </c>
      <c r="B73" s="21" t="s">
        <v>241</v>
      </c>
      <c r="C73" s="22" t="s">
        <v>160</v>
      </c>
      <c r="D73" s="23">
        <v>12</v>
      </c>
      <c r="E73" s="24" t="s">
        <v>129</v>
      </c>
      <c r="F73" s="25">
        <v>0</v>
      </c>
    </row>
    <row r="74" ht="22" customHeight="1" spans="1:6">
      <c r="A74" s="26" t="s">
        <v>242</v>
      </c>
      <c r="B74" s="27" t="s">
        <v>243</v>
      </c>
      <c r="C74" s="28" t="s">
        <v>160</v>
      </c>
      <c r="D74" s="29">
        <v>18</v>
      </c>
      <c r="E74" s="30" t="s">
        <v>244</v>
      </c>
      <c r="F74" s="31">
        <v>15</v>
      </c>
    </row>
    <row r="75" ht="22" customHeight="1" spans="1:6">
      <c r="A75" s="20" t="s">
        <v>245</v>
      </c>
      <c r="B75" s="21" t="s">
        <v>246</v>
      </c>
      <c r="C75" s="22" t="s">
        <v>160</v>
      </c>
      <c r="D75" s="23">
        <v>55</v>
      </c>
      <c r="E75" s="24" t="s">
        <v>247</v>
      </c>
      <c r="F75" s="25">
        <v>39</v>
      </c>
    </row>
    <row r="76" ht="22" customHeight="1" spans="1:6">
      <c r="A76" s="26" t="s">
        <v>248</v>
      </c>
      <c r="B76" s="27" t="s">
        <v>249</v>
      </c>
      <c r="C76" s="28" t="s">
        <v>160</v>
      </c>
      <c r="D76" s="29">
        <v>52</v>
      </c>
      <c r="E76" s="30" t="s">
        <v>250</v>
      </c>
      <c r="F76" s="31">
        <v>44</v>
      </c>
    </row>
    <row r="77" ht="22" customHeight="1" spans="1:6">
      <c r="A77" s="20" t="s">
        <v>251</v>
      </c>
      <c r="B77" s="21" t="s">
        <v>252</v>
      </c>
      <c r="C77" s="22" t="s">
        <v>160</v>
      </c>
      <c r="D77" s="23">
        <v>48</v>
      </c>
      <c r="E77" s="24" t="s">
        <v>253</v>
      </c>
      <c r="F77" s="25">
        <v>24</v>
      </c>
    </row>
    <row r="78" ht="22" customHeight="1" spans="1:6">
      <c r="A78" s="26" t="s">
        <v>254</v>
      </c>
      <c r="B78" s="27" t="s">
        <v>255</v>
      </c>
      <c r="C78" s="28" t="s">
        <v>160</v>
      </c>
      <c r="D78" s="29">
        <v>95</v>
      </c>
      <c r="E78" s="30" t="s">
        <v>256</v>
      </c>
      <c r="F78" s="31">
        <v>6</v>
      </c>
    </row>
    <row r="79" ht="22" customHeight="1" spans="1:6">
      <c r="A79" s="20" t="s">
        <v>257</v>
      </c>
      <c r="B79" s="21" t="s">
        <v>258</v>
      </c>
      <c r="C79" s="22" t="s">
        <v>160</v>
      </c>
      <c r="D79" s="23">
        <v>110</v>
      </c>
      <c r="E79" s="24" t="s">
        <v>259</v>
      </c>
      <c r="F79" s="25">
        <v>4</v>
      </c>
    </row>
    <row r="80" ht="22" customHeight="1" spans="1:6">
      <c r="A80" s="32" t="s">
        <v>260</v>
      </c>
      <c r="B80" s="33"/>
      <c r="C80" s="33"/>
      <c r="D80" s="33"/>
      <c r="E80" s="33"/>
      <c r="F80" s="34">
        <f>SUM(F69:F79)</f>
        <v>192</v>
      </c>
    </row>
    <row r="81" ht="28" customHeight="1" spans="1:6">
      <c r="A81" s="44" t="s">
        <v>261</v>
      </c>
      <c r="B81" s="45"/>
      <c r="C81" s="45"/>
      <c r="D81" s="45"/>
      <c r="E81" s="45"/>
      <c r="F81" s="45"/>
    </row>
  </sheetData>
  <mergeCells count="20">
    <mergeCell ref="A1:F1"/>
    <mergeCell ref="A4:F4"/>
    <mergeCell ref="A8:E8"/>
    <mergeCell ref="A9:F9"/>
    <mergeCell ref="A12:E12"/>
    <mergeCell ref="A13:F13"/>
    <mergeCell ref="A26:E26"/>
    <mergeCell ref="A27:F27"/>
    <mergeCell ref="A35:E35"/>
    <mergeCell ref="A36:F36"/>
    <mergeCell ref="A43:E43"/>
    <mergeCell ref="A44:F44"/>
    <mergeCell ref="A52:E52"/>
    <mergeCell ref="A53:F53"/>
    <mergeCell ref="A60:E60"/>
    <mergeCell ref="A61:F61"/>
    <mergeCell ref="A67:E67"/>
    <mergeCell ref="A68:F68"/>
    <mergeCell ref="A80:E80"/>
    <mergeCell ref="A81:E8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zoomScale="52" zoomScaleNormal="52" workbookViewId="0">
      <selection activeCell="A1" sqref="A1:G1"/>
    </sheetView>
  </sheetViews>
  <sheetFormatPr defaultColWidth="9" defaultRowHeight="14.5" outlineLevelCol="6"/>
  <cols>
    <col min="1" max="1" width="14" customWidth="1"/>
    <col min="2" max="2" width="36" customWidth="1"/>
    <col min="3" max="4" width="16" customWidth="1"/>
    <col min="5" max="5" width="20" customWidth="1"/>
    <col min="6" max="6" width="16" customWidth="1"/>
    <col min="7" max="7" width="20" customWidth="1"/>
  </cols>
  <sheetData>
    <row r="1" ht="36" customHeight="1" spans="1:7">
      <c r="A1" s="1" t="s">
        <v>262</v>
      </c>
    </row>
    <row r="2" ht="22" customHeight="1" spans="1:7">
      <c r="A2" s="2" t="s">
        <v>263</v>
      </c>
    </row>
    <row r="3" ht="15.25"/>
    <row r="4" ht="26" customHeight="1" spans="1:7">
      <c r="A4" s="3" t="s">
        <v>264</v>
      </c>
      <c r="B4" s="4" t="s">
        <v>265</v>
      </c>
      <c r="C4" s="3" t="s">
        <v>266</v>
      </c>
      <c r="D4" s="3" t="s">
        <v>267</v>
      </c>
      <c r="E4" s="3" t="s">
        <v>268</v>
      </c>
      <c r="F4" s="5" t="s">
        <v>269</v>
      </c>
      <c r="G4" s="5" t="s">
        <v>270</v>
      </c>
    </row>
    <row r="5" ht="24" customHeight="1" spans="1:7">
      <c r="A5" s="6" t="s">
        <v>271</v>
      </c>
      <c r="B5" s="7" t="s">
        <v>241</v>
      </c>
      <c r="C5" s="8" t="s">
        <v>272</v>
      </c>
      <c r="D5" s="8" t="s">
        <v>273</v>
      </c>
      <c r="E5" s="9" t="s">
        <v>274</v>
      </c>
      <c r="F5" s="10">
        <v>12</v>
      </c>
      <c r="G5" s="11">
        <v>576</v>
      </c>
    </row>
    <row r="6" ht="24" customHeight="1" spans="1:7">
      <c r="A6" s="6" t="s">
        <v>271</v>
      </c>
      <c r="B6" s="7" t="s">
        <v>218</v>
      </c>
      <c r="C6" s="8" t="s">
        <v>272</v>
      </c>
      <c r="D6" s="8" t="s">
        <v>275</v>
      </c>
      <c r="E6" s="9" t="s">
        <v>276</v>
      </c>
      <c r="F6" s="10">
        <v>98</v>
      </c>
      <c r="G6" s="11">
        <v>1176</v>
      </c>
    </row>
    <row r="7" ht="24" customHeight="1" spans="1:7">
      <c r="A7" s="6" t="s">
        <v>271</v>
      </c>
      <c r="B7" s="7" t="s">
        <v>127</v>
      </c>
      <c r="C7" s="8" t="s">
        <v>272</v>
      </c>
      <c r="D7" s="8" t="s">
        <v>277</v>
      </c>
      <c r="E7" s="9" t="s">
        <v>278</v>
      </c>
      <c r="F7" s="10">
        <v>890</v>
      </c>
      <c r="G7" s="11">
        <v>1780</v>
      </c>
    </row>
    <row r="8" ht="24" customHeight="1" spans="1:7">
      <c r="A8" s="12" t="s">
        <v>279</v>
      </c>
      <c r="B8" s="7" t="s">
        <v>213</v>
      </c>
      <c r="C8" s="8" t="s">
        <v>280</v>
      </c>
      <c r="D8" s="8" t="s">
        <v>275</v>
      </c>
      <c r="E8" s="9" t="s">
        <v>276</v>
      </c>
      <c r="F8" s="10">
        <v>98</v>
      </c>
      <c r="G8" s="11">
        <v>1176</v>
      </c>
    </row>
    <row r="9" ht="24" customHeight="1" spans="1:7">
      <c r="A9" s="12" t="s">
        <v>279</v>
      </c>
      <c r="B9" s="7" t="s">
        <v>216</v>
      </c>
      <c r="C9" s="8" t="s">
        <v>280</v>
      </c>
      <c r="D9" s="8" t="s">
        <v>275</v>
      </c>
      <c r="E9" s="9" t="s">
        <v>276</v>
      </c>
      <c r="F9" s="10">
        <v>98</v>
      </c>
      <c r="G9" s="11">
        <v>1176</v>
      </c>
    </row>
    <row r="10" ht="24" customHeight="1" spans="1:7">
      <c r="A10" s="12" t="s">
        <v>279</v>
      </c>
      <c r="B10" s="7" t="s">
        <v>220</v>
      </c>
      <c r="C10" s="8" t="s">
        <v>88</v>
      </c>
      <c r="D10" s="8" t="s">
        <v>281</v>
      </c>
      <c r="E10" s="9" t="s">
        <v>282</v>
      </c>
      <c r="F10" s="10">
        <v>98</v>
      </c>
      <c r="G10" s="11">
        <v>784</v>
      </c>
    </row>
    <row r="11" ht="24" customHeight="1" spans="1:7">
      <c r="A11" s="12" t="s">
        <v>279</v>
      </c>
      <c r="B11" s="7" t="s">
        <v>134</v>
      </c>
      <c r="C11" s="8" t="s">
        <v>135</v>
      </c>
      <c r="D11" s="8" t="s">
        <v>97</v>
      </c>
      <c r="E11" s="9" t="s">
        <v>283</v>
      </c>
      <c r="F11" s="10">
        <v>890</v>
      </c>
      <c r="G11" s="11">
        <v>890</v>
      </c>
    </row>
    <row r="12" ht="24" customHeight="1" spans="1:7">
      <c r="A12" s="12" t="s">
        <v>279</v>
      </c>
      <c r="B12" s="7" t="s">
        <v>144</v>
      </c>
      <c r="C12" s="8" t="s">
        <v>145</v>
      </c>
      <c r="D12" s="8" t="s">
        <v>97</v>
      </c>
      <c r="E12" s="9" t="s">
        <v>283</v>
      </c>
      <c r="F12" s="10">
        <v>890</v>
      </c>
      <c r="G12" s="11">
        <v>890</v>
      </c>
    </row>
    <row r="13" ht="24" customHeight="1" spans="1:7">
      <c r="A13" s="13" t="s">
        <v>284</v>
      </c>
      <c r="B13" s="7" t="s">
        <v>258</v>
      </c>
      <c r="C13" s="8" t="s">
        <v>285</v>
      </c>
      <c r="D13" s="8" t="s">
        <v>286</v>
      </c>
      <c r="E13" s="9" t="s">
        <v>287</v>
      </c>
      <c r="F13" s="10">
        <v>110</v>
      </c>
      <c r="G13" s="11">
        <v>1320</v>
      </c>
    </row>
    <row r="14" ht="24" customHeight="1" spans="1:7">
      <c r="A14" s="13" t="s">
        <v>284</v>
      </c>
      <c r="B14" s="7" t="s">
        <v>159</v>
      </c>
      <c r="C14" s="8" t="s">
        <v>288</v>
      </c>
      <c r="D14" s="8" t="s">
        <v>289</v>
      </c>
      <c r="E14" s="9" t="s">
        <v>290</v>
      </c>
      <c r="F14" s="10">
        <v>94</v>
      </c>
      <c r="G14" s="11">
        <v>564</v>
      </c>
    </row>
    <row r="15" ht="24" customHeight="1" spans="1:7">
      <c r="A15" s="13" t="s">
        <v>284</v>
      </c>
      <c r="B15" s="7" t="s">
        <v>255</v>
      </c>
      <c r="C15" s="8" t="s">
        <v>291</v>
      </c>
      <c r="D15" s="8" t="s">
        <v>286</v>
      </c>
      <c r="E15" s="9" t="s">
        <v>292</v>
      </c>
      <c r="F15" s="10">
        <v>95</v>
      </c>
      <c r="G15" s="11">
        <v>570</v>
      </c>
    </row>
    <row r="16" ht="26" customHeight="1" spans="1:7">
      <c r="A16" s="14" t="s">
        <v>293</v>
      </c>
      <c r="B16" s="15"/>
      <c r="C16" s="15"/>
      <c r="D16" s="15"/>
      <c r="E16" s="15"/>
      <c r="F16" s="15"/>
      <c r="G16" s="16">
        <f>SUM(G5:G15)</f>
        <v>10902</v>
      </c>
    </row>
    <row r="17" ht="15.25"/>
  </sheetData>
  <mergeCells count="3">
    <mergeCell ref="A1:G1"/>
    <mergeCell ref="A2:G2"/>
    <mergeCell ref="A16:F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📊 Executive Summary</vt:lpstr>
      <vt:lpstr>📋 Complete Inventory Audit</vt:lpstr>
      <vt:lpstr>🚨 Reorder &amp; Action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Junrel Ejurango</cp:lastModifiedBy>
  <dcterms:created xsi:type="dcterms:W3CDTF">2026-09-22T01:15:00Z</dcterms:created>
  <dcterms:modified xsi:type="dcterms:W3CDTF">2026-09-22T01:42:55Z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65597662C8E1453EAFA99E32123D58B6_12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