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- August 8" sheetId="1" r:id="rId4"/>
    <sheet state="visible" name="Additional - August 13" sheetId="2" r:id="rId5"/>
    <sheet state="visible" name="Additional - August 24" sheetId="3" r:id="rId6"/>
    <sheet state="visible" name="Sept 2-2026" sheetId="4" r:id="rId7"/>
    <sheet state="visible" name="Sept 3-2026" sheetId="5" r:id="rId8"/>
    <sheet state="visible" name="Sheet5" sheetId="6" r:id="rId9"/>
  </sheets>
  <definedNames>
    <definedName hidden="1" localSheetId="0" name="_xlnm._FilterDatabase">'Inventory - August 8'!$A$3:$E$48</definedName>
  </definedNames>
  <calcPr/>
  <extLst>
    <ext uri="GoogleSheetsCustomDataVersion2">
      <go:sheetsCustomData xmlns:go="http://customooxmlschemas.google.com/" r:id="rId10" roundtripDataChecksum="DSPfYcsLb6PQPbLzBERzBY5kaCz/6pgvD522pE27KTg="/>
    </ext>
  </extLst>
</workbook>
</file>

<file path=xl/sharedStrings.xml><?xml version="1.0" encoding="utf-8"?>
<sst xmlns="http://schemas.openxmlformats.org/spreadsheetml/2006/main" count="264" uniqueCount="156">
  <si>
    <t>STORE NAME: EXPRESSO YOURSELF &amp; TEA HOUSE</t>
  </si>
  <si>
    <t>QTY</t>
  </si>
  <si>
    <t>UNIT</t>
  </si>
  <si>
    <t xml:space="preserve">ITEM DESCRIPTION </t>
  </si>
  <si>
    <t>PRICE</t>
  </si>
  <si>
    <t>TOTAL PRICE</t>
  </si>
  <si>
    <t>pack</t>
  </si>
  <si>
    <t>Oreo Crumbs 454g</t>
  </si>
  <si>
    <t>pcs</t>
  </si>
  <si>
    <t>white Sauce Squeez</t>
  </si>
  <si>
    <t>easy matcha pure 100g</t>
  </si>
  <si>
    <t>possmei Jasmine Tea 600g</t>
  </si>
  <si>
    <t>OUM</t>
  </si>
  <si>
    <t>ITEM DESCRIPTION</t>
  </si>
  <si>
    <t>Date</t>
  </si>
  <si>
    <t>PACK</t>
  </si>
  <si>
    <t>CONCEPT BLEND 1</t>
  </si>
  <si>
    <t>Item Description</t>
  </si>
  <si>
    <t>Quantity</t>
  </si>
  <si>
    <t>Unit</t>
  </si>
  <si>
    <t>Unit Cost</t>
  </si>
  <si>
    <t>Total Cost</t>
  </si>
  <si>
    <t>Remarks</t>
  </si>
  <si>
    <t>PC</t>
  </si>
  <si>
    <t>STEAMING PITCHER MATTE BLACK 600ML</t>
  </si>
  <si>
    <t>Barista Milk (full cream)</t>
  </si>
  <si>
    <t>Pale Pelsin - 320ml</t>
  </si>
  <si>
    <t>BOT</t>
  </si>
  <si>
    <t>DR. COFFEE DESCALING POWDER</t>
  </si>
  <si>
    <t xml:space="preserve">boxes </t>
  </si>
  <si>
    <t>DR. COFFEE MILK DEEP CLEAN</t>
  </si>
  <si>
    <t>12pcs/litter per box</t>
  </si>
  <si>
    <t>SHOTT GUAVA 1L</t>
  </si>
  <si>
    <t>Bottle</t>
  </si>
  <si>
    <t>SHOTT MANGO 1L</t>
  </si>
  <si>
    <t xml:space="preserve">oatmlik </t>
  </si>
  <si>
    <t>SHOTT POMEGRANATE 1L</t>
  </si>
  <si>
    <t>liter</t>
  </si>
  <si>
    <t>SHOTT LYCHEE 1L</t>
  </si>
  <si>
    <t>SHOTT MACADAMIA 1L</t>
  </si>
  <si>
    <t>3 pcs, 1 liter each</t>
  </si>
  <si>
    <t>SHOTT IRISH CREAM 1L</t>
  </si>
  <si>
    <t>caramel torani</t>
  </si>
  <si>
    <t>SHOTT VANILLA 1L</t>
  </si>
  <si>
    <t>HI FRUCTOSE CORN SYRUP 500ML</t>
  </si>
  <si>
    <t>galloon</t>
  </si>
  <si>
    <t>by bottle</t>
  </si>
  <si>
    <t>1.89 LITER EACH</t>
  </si>
  <si>
    <t>Stallion Red Horse -330ml</t>
  </si>
  <si>
    <t>White Chocolate Syrup Torani</t>
  </si>
  <si>
    <t>JADE PRE-CUT TISSUE 100'S</t>
  </si>
  <si>
    <t>bottle</t>
  </si>
  <si>
    <t>WOODEN COFFEE STIRRER</t>
  </si>
  <si>
    <t>CONDIMENT ORGANIZER</t>
  </si>
  <si>
    <t>750 ML</t>
  </si>
  <si>
    <t>SERVING TRAY</t>
  </si>
  <si>
    <t>ARLA FULL CREAM MILK 1L</t>
  </si>
  <si>
    <t>CAN</t>
  </si>
  <si>
    <t>DOREEN CONDENSED MILK 390G</t>
  </si>
  <si>
    <t>CUP HOLDER</t>
  </si>
  <si>
    <t>EASY DARK CHOCOLATE 1KL</t>
  </si>
  <si>
    <t>BAR SPOON GLOSSY</t>
  </si>
  <si>
    <t>San Mig Apple - 330ml</t>
  </si>
  <si>
    <t>ACRYLIC JIGGER 10ML/20ML</t>
  </si>
  <si>
    <t>GARBAGE BAG 50'S 26X32</t>
  </si>
  <si>
    <t>BAR MAT</t>
  </si>
  <si>
    <t>ICE BOX</t>
  </si>
  <si>
    <t>TRASH CAN 30L</t>
  </si>
  <si>
    <t>FIBER CLOTH</t>
  </si>
  <si>
    <t>Nature Spring - 350ml</t>
  </si>
  <si>
    <t>SPRITE 1.5L</t>
  </si>
  <si>
    <t>CAN OPENER</t>
  </si>
  <si>
    <t>SCISSORS</t>
  </si>
  <si>
    <t>EQUAL S. SACHET 50'S</t>
  </si>
  <si>
    <t>RECIPE BOOK</t>
  </si>
  <si>
    <t>PCS</t>
  </si>
  <si>
    <t>TAPE</t>
  </si>
  <si>
    <t>SOY MILK</t>
  </si>
  <si>
    <t>WHITEBOARD MARKER</t>
  </si>
  <si>
    <t>Nature Spring - 500ml</t>
  </si>
  <si>
    <t>AKARI ADAPTOR</t>
  </si>
  <si>
    <t>CASH BOX</t>
  </si>
  <si>
    <t>UNIVERSAL OUTLET</t>
  </si>
  <si>
    <t>AIR PUMP BALLON</t>
  </si>
  <si>
    <t>BALLOON</t>
  </si>
  <si>
    <t>Master Barista cows milk 1L</t>
  </si>
  <si>
    <t xml:space="preserve">Pack </t>
  </si>
  <si>
    <t>TOTAL</t>
  </si>
  <si>
    <t>possmei Black Tea 600g</t>
  </si>
  <si>
    <t>Torani Macadamia nut syrup 750ml</t>
  </si>
  <si>
    <t>Torani Salted Caramel syrup 750ml</t>
  </si>
  <si>
    <t>Bakersfield Caramel Fudge 1kg</t>
  </si>
  <si>
    <t>Easy Dark Chocolate Base 1kg</t>
  </si>
  <si>
    <t>Torani Lychee Syrup 750ml</t>
  </si>
  <si>
    <t>Easy Cookies &amp; Cream 1kg</t>
  </si>
  <si>
    <t xml:space="preserve">Lotus Biscoff Spread Smooth </t>
  </si>
  <si>
    <t xml:space="preserve">Mixing Bowl </t>
  </si>
  <si>
    <t>Lotus Biscoff 250gx10</t>
  </si>
  <si>
    <t xml:space="preserve">Artisanal Salted Cream Cheese </t>
  </si>
  <si>
    <t>Stackable FK Square small</t>
  </si>
  <si>
    <t xml:space="preserve">bottle </t>
  </si>
  <si>
    <t>Hi-Fructose Corn Syrup 500ml</t>
  </si>
  <si>
    <t>pc</t>
  </si>
  <si>
    <t>Cocktail Shaker 1L</t>
  </si>
  <si>
    <t>Cocktail Shaker 700ml</t>
  </si>
  <si>
    <t>Torani Pomegranate syrup 750ml</t>
  </si>
  <si>
    <t>Fliptop Wide 1.8L</t>
  </si>
  <si>
    <t>Electric Hand Mixer</t>
  </si>
  <si>
    <t>AWD DO3 Frother</t>
  </si>
  <si>
    <t>Knife</t>
  </si>
  <si>
    <t>Cutting Board</t>
  </si>
  <si>
    <t>packs</t>
  </si>
  <si>
    <t>Arla Full Cream 1L</t>
  </si>
  <si>
    <t>espresso glass</t>
  </si>
  <si>
    <t>matcha bowl</t>
  </si>
  <si>
    <t>Australia's Own</t>
  </si>
  <si>
    <t>Total</t>
  </si>
  <si>
    <t>French Vanilla syrup 750ml</t>
  </si>
  <si>
    <t>Hazelnut syrup 750ml</t>
  </si>
  <si>
    <t>Black Thin Straw</t>
  </si>
  <si>
    <t>Single take out plastic</t>
  </si>
  <si>
    <t>Irish cream syrup 750ml</t>
  </si>
  <si>
    <t>Double take out plastic</t>
  </si>
  <si>
    <t xml:space="preserve">Whoop Classic Ube taro Beverage wonder 1kg </t>
  </si>
  <si>
    <t>Pack</t>
  </si>
  <si>
    <t>Dom lid Cover for Frappe</t>
  </si>
  <si>
    <t>50 pcs per packs</t>
  </si>
  <si>
    <t xml:space="preserve">Dilmah Gourment Green Tea 100bag </t>
  </si>
  <si>
    <t xml:space="preserve">Box </t>
  </si>
  <si>
    <t>Dilmah Gourment Green Tea with jasmine 100bag</t>
  </si>
  <si>
    <t>Box</t>
  </si>
  <si>
    <t>Dilmah Earl Grey 100bag</t>
  </si>
  <si>
    <t xml:space="preserve">Dilmah Pure camomile flowers 100bags </t>
  </si>
  <si>
    <t>Dilmah Traditional oolong tea 100bags</t>
  </si>
  <si>
    <t>Dilmah pure peppermint leaves 100bags</t>
  </si>
  <si>
    <t>Torani Manggo puree blend 1.89L</t>
  </si>
  <si>
    <t>Gallon</t>
  </si>
  <si>
    <t>Torani strawberry puree blend 1.89L</t>
  </si>
  <si>
    <t>Pringles cheddar cheese 158g</t>
  </si>
  <si>
    <t>Tubular can</t>
  </si>
  <si>
    <t>Pringle's sour and cream &amp; onion 158g</t>
  </si>
  <si>
    <t>Pringle's original 158g</t>
  </si>
  <si>
    <t>Cheetos cheddar jalapeño 226.8g</t>
  </si>
  <si>
    <t>Coca Cola 320ml</t>
  </si>
  <si>
    <t>Can</t>
  </si>
  <si>
    <t>Sprite 320ml</t>
  </si>
  <si>
    <t>Coca Cola Zero sugar 320ml</t>
  </si>
  <si>
    <t>Butter lover popcorn 32bags</t>
  </si>
  <si>
    <t>Perrier 330ml</t>
  </si>
  <si>
    <t>Evian water 500ml</t>
  </si>
  <si>
    <t>Sprite 1.5L</t>
  </si>
  <si>
    <t xml:space="preserve">Bottle </t>
  </si>
  <si>
    <t xml:space="preserve">Crinkles 16pcs </t>
  </si>
  <si>
    <t>Ensaymada 6pcs</t>
  </si>
  <si>
    <t>Muffin 6pcs</t>
  </si>
  <si>
    <t xml:space="preserve">Cake 1 rectangular shape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</si>
</sst>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mm/dd/yyyy"/>
    <numFmt numFmtId="166" formatCode="₱#,##0.00"/>
    <numFmt numFmtId="167" formatCode="m/d/yy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b/>
      <sz val="16.0"/>
      <color rgb="FFFFFFFF"/>
      <name val="Calibri"/>
    </font>
    <font/>
    <font>
      <b/>
      <sz val="11.0"/>
      <color rgb="FFFFFFFF"/>
      <name val="Calibri"/>
    </font>
    <font>
      <b/>
      <sz val="12.0"/>
      <color theme="1"/>
      <name val="Arial"/>
    </font>
    <font>
      <color theme="1"/>
      <name val="Calibri"/>
      <scheme val="minor"/>
    </font>
    <font>
      <b/>
      <sz val="12.0"/>
      <color rgb="FF434343"/>
      <name val="Arial"/>
    </font>
    <font>
      <b/>
      <sz val="13.0"/>
      <color theme="1"/>
      <name val="Calibri"/>
    </font>
    <font>
      <b/>
      <sz val="11.0"/>
      <color rgb="FF434343"/>
      <name val="Arial"/>
    </font>
    <font>
      <b/>
      <sz val="11.0"/>
      <color rgb="FF434343"/>
      <name val="Roboto"/>
    </font>
    <font>
      <sz val="11.0"/>
      <color rgb="FF434343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65FF65"/>
        <bgColor rgb="FF65FF65"/>
      </patternFill>
    </fill>
    <fill>
      <patternFill patternType="solid">
        <fgColor rgb="FF1F4E78"/>
        <bgColor rgb="FF1F4E78"/>
      </patternFill>
    </fill>
    <fill>
      <patternFill patternType="solid">
        <fgColor rgb="FF548235"/>
        <bgColor rgb="FF548235"/>
      </patternFill>
    </fill>
    <fill>
      <patternFill patternType="solid">
        <fgColor rgb="FFF3F7F2"/>
        <bgColor rgb="FFF3F7F2"/>
      </patternFill>
    </fill>
    <fill>
      <patternFill patternType="solid">
        <fgColor rgb="FFFFFFFF"/>
        <bgColor rgb="FFFFFFFF"/>
      </patternFill>
    </fill>
    <fill>
      <patternFill patternType="solid">
        <fgColor rgb="FFD9EAF7"/>
        <bgColor rgb="FFD9EAF7"/>
      </patternFill>
    </fill>
    <fill>
      <patternFill patternType="solid">
        <fgColor rgb="FFDBE5F1"/>
        <bgColor rgb="FFDBE5F1"/>
      </patternFill>
    </fill>
    <fill>
      <patternFill patternType="solid">
        <fgColor rgb="FFFFD966"/>
        <bgColor rgb="FFFFD966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Alignment="1" applyFont="1">
      <alignment horizontal="right"/>
    </xf>
    <xf borderId="0" fillId="0" fontId="2" numFmtId="0" xfId="0" applyFont="1"/>
    <xf borderId="2" fillId="3" fontId="3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right"/>
    </xf>
    <xf borderId="3" fillId="0" fontId="4" numFmtId="0" xfId="0" applyBorder="1" applyFont="1"/>
    <xf borderId="4" fillId="0" fontId="4" numFmtId="0" xfId="0" applyBorder="1" applyFont="1"/>
    <xf borderId="5" fillId="4" fontId="5" numFmtId="0" xfId="0" applyAlignment="1" applyBorder="1" applyFill="1" applyFont="1">
      <alignment horizontal="center" vertical="center"/>
    </xf>
    <xf borderId="5" fillId="5" fontId="1" numFmtId="0" xfId="0" applyAlignment="1" applyBorder="1" applyFill="1" applyFont="1">
      <alignment horizontal="center" vertical="center"/>
    </xf>
    <xf borderId="5" fillId="5" fontId="1" numFmtId="0" xfId="0" applyAlignment="1" applyBorder="1" applyFill="1" applyFont="1">
      <alignment horizontal="left" vertical="center"/>
    </xf>
    <xf borderId="5" fillId="5" fontId="1" numFmtId="4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left" vertical="center"/>
    </xf>
    <xf borderId="0" fillId="0" fontId="7" numFmtId="164" xfId="0" applyAlignment="1" applyFont="1" applyNumberFormat="1">
      <alignment readingOrder="0" shrinkToFit="0" vertical="center" wrapText="0"/>
    </xf>
    <xf borderId="5" fillId="0" fontId="1" numFmtId="4" xfId="0" applyAlignment="1" applyBorder="1" applyFont="1" applyNumberFormat="1">
      <alignment horizontal="center" vertical="center"/>
    </xf>
    <xf borderId="6" fillId="6" fontId="6" numFmtId="165" xfId="0" applyAlignment="1" applyBorder="1" applyFill="1" applyFont="1" applyNumberFormat="1">
      <alignment horizontal="right" shrinkToFit="0" vertical="center" wrapText="0"/>
    </xf>
    <xf borderId="0" fillId="0" fontId="7" numFmtId="0" xfId="0" applyAlignment="1" applyFont="1">
      <alignment readingOrder="0" shrinkToFit="0" vertical="center" wrapText="0"/>
    </xf>
    <xf borderId="6" fillId="6" fontId="6" numFmtId="0" xfId="0" applyAlignment="1" applyBorder="1" applyFill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6" fillId="6" fontId="6" numFmtId="0" xfId="0" applyAlignment="1" applyBorder="1" applyFill="1" applyFont="1">
      <alignment horizontal="right" shrinkToFit="0" vertical="center" wrapText="0"/>
    </xf>
    <xf borderId="6" fillId="6" fontId="6" numFmtId="166" xfId="0" applyAlignment="1" applyBorder="1" applyFill="1" applyFont="1" applyNumberFormat="1">
      <alignment horizontal="right" shrinkToFit="0" vertical="center" wrapText="0"/>
    </xf>
    <xf borderId="6" fillId="7" fontId="6" numFmtId="165" xfId="0" applyAlignment="1" applyBorder="1" applyFill="1" applyFont="1" applyNumberFormat="1">
      <alignment horizontal="right" shrinkToFit="0" vertical="center" wrapText="0"/>
    </xf>
    <xf borderId="6" fillId="7" fontId="6" numFmtId="0" xfId="0" applyAlignment="1" applyBorder="1" applyFill="1" applyFont="1">
      <alignment horizontal="right" shrinkToFit="0" vertical="center" wrapText="0"/>
    </xf>
    <xf borderId="6" fillId="7" fontId="6" numFmtId="166" xfId="0" applyAlignment="1" applyBorder="1" applyFill="1" applyFont="1" applyNumberFormat="1">
      <alignment horizontal="right" shrinkToFit="0" vertical="center" wrapText="0"/>
    </xf>
    <xf borderId="7" fillId="8" fontId="8" numFmtId="0" xfId="0" applyAlignment="1" applyBorder="1" applyFill="1" applyFont="1">
      <alignment shrinkToFit="0" vertical="center" wrapText="0"/>
    </xf>
    <xf borderId="6" fillId="7" fontId="6" numFmtId="0" xfId="0" applyAlignment="1" applyBorder="1" applyFill="1" applyFont="1">
      <alignment shrinkToFit="0" vertical="center" wrapText="0"/>
    </xf>
    <xf borderId="8" fillId="9" fontId="9" numFmtId="0" xfId="0" applyAlignment="1" applyBorder="1" applyFill="1" applyFont="1">
      <alignment horizontal="center"/>
    </xf>
    <xf borderId="6" fillId="7" fontId="1" numFmtId="166" xfId="0" applyAlignment="1" applyBorder="1" applyFill="1" applyFont="1" applyNumberFormat="1">
      <alignment shrinkToFit="0" vertical="center" wrapText="0"/>
    </xf>
    <xf borderId="9" fillId="0" fontId="4" numFmtId="0" xfId="0" applyBorder="1" applyFont="1"/>
    <xf borderId="10" fillId="0" fontId="4" numFmtId="0" xfId="0" applyBorder="1" applyFont="1"/>
    <xf borderId="6" fillId="7" fontId="1" numFmtId="0" xfId="0" applyAlignment="1" applyBorder="1" applyFill="1" applyFont="1">
      <alignment shrinkToFit="0" vertical="center" wrapText="0"/>
    </xf>
    <xf borderId="5" fillId="9" fontId="9" numFmtId="4" xfId="0" applyBorder="1" applyFill="1" applyFont="1" applyNumberFormat="1"/>
    <xf borderId="6" fillId="6" fontId="1" numFmtId="166" xfId="0" applyAlignment="1" applyBorder="1" applyFill="1" applyFont="1" applyNumberFormat="1">
      <alignment shrinkToFit="0" vertical="center" wrapText="0"/>
    </xf>
    <xf borderId="6" fillId="6" fontId="1" numFmtId="0" xfId="0" applyAlignment="1" applyBorder="1" applyFill="1" applyFont="1">
      <alignment shrinkToFit="0" vertical="center" wrapText="0"/>
    </xf>
    <xf borderId="0" fillId="0" fontId="2" numFmtId="2" xfId="0" applyAlignment="1" applyFont="1" applyNumberFormat="1">
      <alignment horizontal="right"/>
    </xf>
    <xf borderId="11" fillId="7" fontId="6" numFmtId="165" xfId="0" applyAlignment="1" applyBorder="1" applyFill="1" applyFont="1" applyNumberFormat="1">
      <alignment horizontal="right" shrinkToFit="0" vertical="center" wrapText="0"/>
    </xf>
    <xf borderId="11" fillId="7" fontId="6" numFmtId="0" xfId="0" applyAlignment="1" applyBorder="1" applyFill="1" applyFont="1">
      <alignment shrinkToFit="0" vertical="center" wrapText="0"/>
    </xf>
    <xf borderId="11" fillId="7" fontId="6" numFmtId="0" xfId="0" applyAlignment="1" applyBorder="1" applyFill="1" applyFont="1">
      <alignment horizontal="right" shrinkToFit="0" vertical="center" wrapText="0"/>
    </xf>
    <xf borderId="11" fillId="7" fontId="1" numFmtId="166" xfId="0" applyAlignment="1" applyBorder="1" applyFill="1" applyFont="1" applyNumberFormat="1">
      <alignment shrinkToFit="0" vertical="center" wrapText="0"/>
    </xf>
    <xf borderId="11" fillId="7" fontId="1" numFmtId="0" xfId="0" applyAlignment="1" applyBorder="1" applyFill="1" applyFont="1">
      <alignment shrinkToFit="0" vertical="center" wrapText="0"/>
    </xf>
    <xf borderId="11" fillId="8" fontId="6" numFmtId="165" xfId="0" applyAlignment="1" applyBorder="1" applyFill="1" applyFont="1" applyNumberFormat="1">
      <alignment horizontal="right" shrinkToFit="0" vertical="center" wrapText="0"/>
    </xf>
    <xf borderId="11" fillId="8" fontId="6" numFmtId="0" xfId="0" applyAlignment="1" applyBorder="1" applyFill="1" applyFont="1">
      <alignment shrinkToFit="0" vertical="center" wrapText="0"/>
    </xf>
    <xf borderId="11" fillId="8" fontId="6" numFmtId="0" xfId="0" applyAlignment="1" applyBorder="1" applyFill="1" applyFont="1">
      <alignment horizontal="right" shrinkToFit="0" vertical="center" wrapText="0"/>
    </xf>
    <xf borderId="7" fillId="8" fontId="1" numFmtId="166" xfId="0" applyAlignment="1" applyBorder="1" applyFill="1" applyFont="1" applyNumberFormat="1">
      <alignment shrinkToFit="0" vertical="center" wrapText="0"/>
    </xf>
    <xf borderId="12" fillId="8" fontId="1" numFmtId="0" xfId="0" applyAlignment="1" applyBorder="1" applyFill="1" applyFont="1">
      <alignment shrinkToFit="0" vertical="center" wrapText="0"/>
    </xf>
    <xf borderId="1" fillId="6" fontId="10" numFmtId="167" xfId="0" applyAlignment="1" applyBorder="1" applyFill="1" applyFont="1" applyNumberFormat="1">
      <alignment horizontal="right" shrinkToFit="0" vertical="center" wrapText="0"/>
    </xf>
    <xf borderId="1" fillId="6" fontId="11" numFmtId="0" xfId="0" applyAlignment="1" applyBorder="1" applyFill="1" applyFont="1">
      <alignment shrinkToFit="0" vertical="center" wrapText="0"/>
    </xf>
    <xf borderId="1" fillId="6" fontId="11" numFmtId="0" xfId="0" applyAlignment="1" applyBorder="1" applyFill="1" applyFont="1">
      <alignment horizontal="right" readingOrder="0" shrinkToFit="0" vertical="center" wrapText="0"/>
    </xf>
    <xf borderId="7" fillId="6" fontId="1" numFmtId="166" xfId="0" applyAlignment="1" applyBorder="1" applyFill="1" applyFont="1" applyNumberFormat="1">
      <alignment shrinkToFit="0" vertical="center" wrapText="0"/>
    </xf>
    <xf borderId="12" fillId="6" fontId="1" numFmtId="0" xfId="0" applyAlignment="1" applyBorder="1" applyFill="1" applyFont="1">
      <alignment shrinkToFit="0" vertical="center" wrapText="0"/>
    </xf>
    <xf borderId="1" fillId="6" fontId="8" numFmtId="167" xfId="0" applyAlignment="1" applyBorder="1" applyFill="1" applyFont="1" applyNumberFormat="1">
      <alignment horizontal="right" shrinkToFit="0" vertical="center" wrapText="0"/>
    </xf>
    <xf borderId="1" fillId="6" fontId="8" numFmtId="0" xfId="0" applyAlignment="1" applyBorder="1" applyFill="1" applyFont="1">
      <alignment shrinkToFit="0" vertical="center" wrapText="0"/>
    </xf>
    <xf borderId="1" fillId="6" fontId="8" numFmtId="0" xfId="0" applyAlignment="1" applyBorder="1" applyFill="1" applyFont="1">
      <alignment horizontal="right" shrinkToFit="0" vertical="center" wrapText="0"/>
    </xf>
    <xf borderId="13" fillId="6" fontId="12" numFmtId="165" xfId="0" applyAlignment="1" applyBorder="1" applyFill="1" applyFont="1" applyNumberFormat="1">
      <alignment horizontal="right" shrinkToFit="0" vertical="center" wrapText="0"/>
    </xf>
    <xf borderId="7" fillId="6" fontId="12" numFmtId="0" xfId="0" applyAlignment="1" applyBorder="1" applyFill="1" applyFont="1">
      <alignment shrinkToFit="0" vertical="center" wrapText="0"/>
    </xf>
    <xf borderId="7" fillId="6" fontId="12" numFmtId="0" xfId="0" applyAlignment="1" applyBorder="1" applyFill="1" applyFont="1">
      <alignment horizontal="right" shrinkToFit="0" vertical="center" wrapText="0"/>
    </xf>
    <xf borderId="13" fillId="8" fontId="12" numFmtId="165" xfId="0" applyAlignment="1" applyBorder="1" applyFill="1" applyFont="1" applyNumberFormat="1">
      <alignment horizontal="right" shrinkToFit="0" vertical="center" wrapText="0"/>
    </xf>
    <xf borderId="7" fillId="8" fontId="12" numFmtId="0" xfId="0" applyAlignment="1" applyBorder="1" applyFill="1" applyFont="1">
      <alignment shrinkToFit="0" vertical="center" wrapText="0"/>
    </xf>
    <xf borderId="7" fillId="8" fontId="12" numFmtId="0" xfId="0" applyAlignment="1" applyBorder="1" applyFill="1" applyFont="1">
      <alignment horizontal="right" shrinkToFit="0" vertical="center" wrapText="0"/>
    </xf>
    <xf borderId="13" fillId="6" fontId="1" numFmtId="165" xfId="0" applyAlignment="1" applyBorder="1" applyFill="1" applyFont="1" applyNumberFormat="1">
      <alignment shrinkToFit="0" vertical="center" wrapText="0"/>
    </xf>
    <xf borderId="7" fillId="6" fontId="1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Sept 2-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ditional - August 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t 3-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9" displayName="Table1" name="Table1" id="1">
  <tableColumns count="7">
    <tableColumn name="Date" id="1"/>
    <tableColumn name="Item Description" id="2"/>
    <tableColumn name="Quantity" id="3"/>
    <tableColumn name="Unit" id="4"/>
    <tableColumn name="Unit Cost" id="5"/>
    <tableColumn name="Total Cost" id="6"/>
    <tableColumn name="Remarks" id="7"/>
  </tableColumns>
  <tableStyleInfo name="Additional - August 24-style" showColumnStripes="0" showFirstColumn="1" showLastColumn="1" showRowStripes="1"/>
</table>
</file>

<file path=xl/tables/table2.xml><?xml version="1.0" encoding="utf-8"?>
<table xmlns="http://schemas.openxmlformats.org/spreadsheetml/2006/main" ref="A1:G5" displayName="Table2" name="Table2" id="2">
  <tableColumns count="7">
    <tableColumn name="Date" id="1"/>
    <tableColumn name="Item Description" id="2"/>
    <tableColumn name="Quantity" id="3"/>
    <tableColumn name="Unit" id="4"/>
    <tableColumn name="Unit Cost" id="5"/>
    <tableColumn name="Total Cost" id="6"/>
    <tableColumn name="Remarks" id="7"/>
  </tableColumns>
  <tableStyleInfo name="Sept 2-2026-style" showColumnStripes="0" showFirstColumn="1" showLastColumn="1" showRowStripes="1"/>
</table>
</file>

<file path=xl/tables/table3.xml><?xml version="1.0" encoding="utf-8"?>
<table xmlns="http://schemas.openxmlformats.org/spreadsheetml/2006/main" ref="A1:G5" displayName="Table3" name="Table3" id="3">
  <tableColumns count="7">
    <tableColumn name="Date" id="1"/>
    <tableColumn name="Item Description" id="2"/>
    <tableColumn name="Quantity" id="3"/>
    <tableColumn name="Unit" id="4"/>
    <tableColumn name="Unit Cost" id="5"/>
    <tableColumn name="Total Cost" id="6"/>
    <tableColumn name="Remarks" id="7"/>
  </tableColumns>
  <tableStyleInfo name="Sept 3-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48.0"/>
    <col customWidth="1" min="4" max="4" width="14.0"/>
    <col customWidth="1" min="5" max="5" width="16.0"/>
    <col customWidth="1" min="6" max="26" width="9.0"/>
  </cols>
  <sheetData>
    <row r="1" ht="27.75" customHeight="1">
      <c r="A1" s="5" t="s">
        <v>0</v>
      </c>
      <c r="B1" s="7"/>
      <c r="C1" s="7"/>
      <c r="D1" s="7"/>
      <c r="E1" s="8"/>
    </row>
    <row r="2" ht="14.25" customHeight="1"/>
    <row r="3" ht="14.25" customHeight="1">
      <c r="A3" s="9" t="s">
        <v>1</v>
      </c>
      <c r="B3" s="9" t="s">
        <v>12</v>
      </c>
      <c r="C3" s="9" t="s">
        <v>13</v>
      </c>
      <c r="D3" s="9" t="s">
        <v>4</v>
      </c>
      <c r="E3" s="9" t="s">
        <v>5</v>
      </c>
    </row>
    <row r="4" ht="14.25" customHeight="1">
      <c r="A4" s="10">
        <v>10.0</v>
      </c>
      <c r="B4" s="10" t="s">
        <v>15</v>
      </c>
      <c r="C4" s="11" t="s">
        <v>16</v>
      </c>
      <c r="D4" s="12">
        <v>980.0</v>
      </c>
      <c r="E4" s="12">
        <f t="shared" ref="E4:E43" si="1">A4*D4</f>
        <v>9800</v>
      </c>
    </row>
    <row r="5" ht="14.25" customHeight="1">
      <c r="A5" s="15">
        <v>1.0</v>
      </c>
      <c r="B5" s="15" t="s">
        <v>23</v>
      </c>
      <c r="C5" s="16" t="s">
        <v>24</v>
      </c>
      <c r="D5" s="18">
        <v>2180.0</v>
      </c>
      <c r="E5" s="18">
        <f t="shared" si="1"/>
        <v>2180</v>
      </c>
    </row>
    <row r="6" ht="14.25" customHeight="1">
      <c r="A6" s="10">
        <v>1.0</v>
      </c>
      <c r="B6" s="10" t="s">
        <v>27</v>
      </c>
      <c r="C6" s="11" t="s">
        <v>28</v>
      </c>
      <c r="D6" s="12">
        <v>1000.0</v>
      </c>
      <c r="E6" s="12">
        <f t="shared" si="1"/>
        <v>1000</v>
      </c>
    </row>
    <row r="7" ht="14.25" customHeight="1">
      <c r="A7" s="15">
        <v>1.0</v>
      </c>
      <c r="B7" s="15" t="s">
        <v>27</v>
      </c>
      <c r="C7" s="16" t="s">
        <v>30</v>
      </c>
      <c r="D7" s="18">
        <v>2800.0</v>
      </c>
      <c r="E7" s="18">
        <f t="shared" si="1"/>
        <v>2800</v>
      </c>
    </row>
    <row r="8" ht="14.25" customHeight="1">
      <c r="A8" s="10">
        <v>1.0</v>
      </c>
      <c r="B8" s="10" t="s">
        <v>27</v>
      </c>
      <c r="C8" s="11" t="s">
        <v>32</v>
      </c>
      <c r="D8" s="12">
        <v>890.0</v>
      </c>
      <c r="E8" s="12">
        <f t="shared" si="1"/>
        <v>890</v>
      </c>
    </row>
    <row r="9" ht="14.25" customHeight="1">
      <c r="A9" s="15">
        <v>1.0</v>
      </c>
      <c r="B9" s="15" t="s">
        <v>27</v>
      </c>
      <c r="C9" s="16" t="s">
        <v>34</v>
      </c>
      <c r="D9" s="18">
        <v>890.0</v>
      </c>
      <c r="E9" s="18">
        <f t="shared" si="1"/>
        <v>890</v>
      </c>
    </row>
    <row r="10" ht="14.25" customHeight="1">
      <c r="A10" s="10">
        <v>1.0</v>
      </c>
      <c r="B10" s="10" t="s">
        <v>27</v>
      </c>
      <c r="C10" s="11" t="s">
        <v>36</v>
      </c>
      <c r="D10" s="12">
        <v>890.0</v>
      </c>
      <c r="E10" s="12">
        <f t="shared" si="1"/>
        <v>890</v>
      </c>
    </row>
    <row r="11" ht="14.25" customHeight="1">
      <c r="A11" s="15">
        <v>1.0</v>
      </c>
      <c r="B11" s="15" t="s">
        <v>27</v>
      </c>
      <c r="C11" s="16" t="s">
        <v>38</v>
      </c>
      <c r="D11" s="18">
        <v>890.0</v>
      </c>
      <c r="E11" s="18">
        <f t="shared" si="1"/>
        <v>890</v>
      </c>
    </row>
    <row r="12" ht="14.25" customHeight="1">
      <c r="A12" s="10">
        <v>1.0</v>
      </c>
      <c r="B12" s="10" t="s">
        <v>27</v>
      </c>
      <c r="C12" s="11" t="s">
        <v>39</v>
      </c>
      <c r="D12" s="12">
        <v>690.0</v>
      </c>
      <c r="E12" s="12">
        <f t="shared" si="1"/>
        <v>690</v>
      </c>
    </row>
    <row r="13" ht="14.25" customHeight="1">
      <c r="A13" s="15">
        <v>1.0</v>
      </c>
      <c r="B13" s="15" t="s">
        <v>27</v>
      </c>
      <c r="C13" s="16" t="s">
        <v>41</v>
      </c>
      <c r="D13" s="18">
        <v>690.0</v>
      </c>
      <c r="E13" s="18">
        <f t="shared" si="1"/>
        <v>690</v>
      </c>
    </row>
    <row r="14" ht="14.25" customHeight="1">
      <c r="A14" s="10">
        <v>1.0</v>
      </c>
      <c r="B14" s="10" t="s">
        <v>27</v>
      </c>
      <c r="C14" s="11" t="s">
        <v>43</v>
      </c>
      <c r="D14" s="12">
        <v>690.0</v>
      </c>
      <c r="E14" s="12">
        <f t="shared" si="1"/>
        <v>690</v>
      </c>
    </row>
    <row r="15" ht="14.25" customHeight="1">
      <c r="A15" s="15">
        <v>1.0</v>
      </c>
      <c r="B15" s="15" t="s">
        <v>27</v>
      </c>
      <c r="C15" s="16" t="s">
        <v>44</v>
      </c>
      <c r="D15" s="18">
        <v>94.0</v>
      </c>
      <c r="E15" s="18">
        <f t="shared" si="1"/>
        <v>94</v>
      </c>
    </row>
    <row r="16" ht="14.25" customHeight="1">
      <c r="A16" s="10">
        <v>1.0</v>
      </c>
      <c r="B16" s="10" t="s">
        <v>15</v>
      </c>
      <c r="C16" s="11" t="s">
        <v>50</v>
      </c>
      <c r="D16" s="12">
        <v>80.0</v>
      </c>
      <c r="E16" s="12">
        <f t="shared" si="1"/>
        <v>80</v>
      </c>
    </row>
    <row r="17" ht="14.25" customHeight="1">
      <c r="A17" s="15">
        <v>2.0</v>
      </c>
      <c r="B17" s="15" t="s">
        <v>15</v>
      </c>
      <c r="C17" s="16" t="s">
        <v>52</v>
      </c>
      <c r="D17" s="18">
        <v>25.0</v>
      </c>
      <c r="E17" s="18">
        <f t="shared" si="1"/>
        <v>50</v>
      </c>
    </row>
    <row r="18" ht="14.25" customHeight="1">
      <c r="A18" s="10">
        <v>1.0</v>
      </c>
      <c r="B18" s="10" t="s">
        <v>23</v>
      </c>
      <c r="C18" s="11" t="s">
        <v>53</v>
      </c>
      <c r="D18" s="12">
        <v>420.0</v>
      </c>
      <c r="E18" s="12">
        <f t="shared" si="1"/>
        <v>420</v>
      </c>
    </row>
    <row r="19" ht="14.25" customHeight="1">
      <c r="A19" s="15">
        <v>2.0</v>
      </c>
      <c r="B19" s="15" t="s">
        <v>15</v>
      </c>
      <c r="C19" s="16" t="s">
        <v>55</v>
      </c>
      <c r="D19" s="18">
        <v>156.0</v>
      </c>
      <c r="E19" s="18">
        <f t="shared" si="1"/>
        <v>312</v>
      </c>
    </row>
    <row r="20" ht="14.25" customHeight="1">
      <c r="A20" s="10">
        <v>10.0</v>
      </c>
      <c r="B20" s="10" t="s">
        <v>15</v>
      </c>
      <c r="C20" s="11" t="s">
        <v>56</v>
      </c>
      <c r="D20" s="12">
        <v>99.0</v>
      </c>
      <c r="E20" s="12">
        <f t="shared" si="1"/>
        <v>990</v>
      </c>
    </row>
    <row r="21" ht="14.25" customHeight="1">
      <c r="A21" s="15">
        <v>24.0</v>
      </c>
      <c r="B21" s="15" t="s">
        <v>57</v>
      </c>
      <c r="C21" s="16" t="s">
        <v>58</v>
      </c>
      <c r="D21" s="18">
        <v>44.0</v>
      </c>
      <c r="E21" s="18">
        <f t="shared" si="1"/>
        <v>1056</v>
      </c>
    </row>
    <row r="22" ht="14.25" customHeight="1">
      <c r="A22" s="10">
        <v>1.0</v>
      </c>
      <c r="B22" s="10" t="s">
        <v>23</v>
      </c>
      <c r="C22" s="11" t="s">
        <v>59</v>
      </c>
      <c r="D22" s="12">
        <v>498.0</v>
      </c>
      <c r="E22" s="12">
        <f t="shared" si="1"/>
        <v>498</v>
      </c>
    </row>
    <row r="23" ht="14.25" customHeight="1">
      <c r="A23" s="15">
        <v>1.0</v>
      </c>
      <c r="B23" s="15" t="s">
        <v>15</v>
      </c>
      <c r="C23" s="16" t="s">
        <v>60</v>
      </c>
      <c r="D23" s="18">
        <v>396.0</v>
      </c>
      <c r="E23" s="18">
        <f t="shared" si="1"/>
        <v>396</v>
      </c>
    </row>
    <row r="24" ht="14.25" customHeight="1">
      <c r="A24" s="10">
        <v>1.0</v>
      </c>
      <c r="B24" s="10" t="s">
        <v>23</v>
      </c>
      <c r="C24" s="11" t="s">
        <v>61</v>
      </c>
      <c r="D24" s="12">
        <v>110.0</v>
      </c>
      <c r="E24" s="12">
        <f t="shared" si="1"/>
        <v>110</v>
      </c>
    </row>
    <row r="25" ht="14.25" customHeight="1">
      <c r="A25" s="15">
        <v>2.0</v>
      </c>
      <c r="B25" s="15" t="s">
        <v>23</v>
      </c>
      <c r="C25" s="16" t="s">
        <v>63</v>
      </c>
      <c r="D25" s="18">
        <v>60.0</v>
      </c>
      <c r="E25" s="18">
        <f t="shared" si="1"/>
        <v>120</v>
      </c>
    </row>
    <row r="26" ht="14.25" customHeight="1">
      <c r="A26" s="10">
        <v>1.0</v>
      </c>
      <c r="B26" s="10" t="s">
        <v>15</v>
      </c>
      <c r="C26" s="11" t="s">
        <v>64</v>
      </c>
      <c r="D26" s="12">
        <v>300.0</v>
      </c>
      <c r="E26" s="12">
        <f t="shared" si="1"/>
        <v>300</v>
      </c>
    </row>
    <row r="27" ht="14.25" customHeight="1">
      <c r="A27" s="15">
        <v>1.0</v>
      </c>
      <c r="B27" s="15" t="s">
        <v>23</v>
      </c>
      <c r="C27" s="16" t="s">
        <v>65</v>
      </c>
      <c r="D27" s="18">
        <v>320.0</v>
      </c>
      <c r="E27" s="18">
        <f t="shared" si="1"/>
        <v>320</v>
      </c>
    </row>
    <row r="28" ht="14.25" customHeight="1">
      <c r="A28" s="10">
        <v>1.0</v>
      </c>
      <c r="B28" s="10" t="s">
        <v>23</v>
      </c>
      <c r="C28" s="11" t="s">
        <v>66</v>
      </c>
      <c r="D28" s="12">
        <v>784.0</v>
      </c>
      <c r="E28" s="12">
        <f t="shared" si="1"/>
        <v>784</v>
      </c>
    </row>
    <row r="29" ht="14.25" customHeight="1">
      <c r="A29" s="15">
        <v>1.0</v>
      </c>
      <c r="B29" s="15" t="s">
        <v>23</v>
      </c>
      <c r="C29" s="16" t="s">
        <v>67</v>
      </c>
      <c r="D29" s="18">
        <v>850.0</v>
      </c>
      <c r="E29" s="18">
        <f t="shared" si="1"/>
        <v>850</v>
      </c>
    </row>
    <row r="30" ht="14.25" customHeight="1">
      <c r="A30" s="10">
        <v>1.0</v>
      </c>
      <c r="B30" s="10" t="s">
        <v>23</v>
      </c>
      <c r="C30" s="11" t="s">
        <v>68</v>
      </c>
      <c r="D30" s="12">
        <v>115.0</v>
      </c>
      <c r="E30" s="12">
        <f t="shared" si="1"/>
        <v>115</v>
      </c>
    </row>
    <row r="31" ht="14.25" customHeight="1">
      <c r="A31" s="15">
        <v>4.0</v>
      </c>
      <c r="B31" s="15" t="s">
        <v>27</v>
      </c>
      <c r="C31" s="16" t="s">
        <v>70</v>
      </c>
      <c r="D31" s="18">
        <v>69.5</v>
      </c>
      <c r="E31" s="18">
        <f t="shared" si="1"/>
        <v>278</v>
      </c>
    </row>
    <row r="32" ht="14.25" customHeight="1">
      <c r="A32" s="10">
        <v>1.0</v>
      </c>
      <c r="B32" s="10" t="s">
        <v>23</v>
      </c>
      <c r="C32" s="11" t="s">
        <v>71</v>
      </c>
      <c r="D32" s="12">
        <v>129.0</v>
      </c>
      <c r="E32" s="12">
        <f t="shared" si="1"/>
        <v>129</v>
      </c>
    </row>
    <row r="33" ht="14.25" customHeight="1">
      <c r="A33" s="15">
        <v>1.0</v>
      </c>
      <c r="B33" s="15" t="s">
        <v>23</v>
      </c>
      <c r="C33" s="16" t="s">
        <v>72</v>
      </c>
      <c r="D33" s="18">
        <v>119.0</v>
      </c>
      <c r="E33" s="18">
        <f t="shared" si="1"/>
        <v>119</v>
      </c>
    </row>
    <row r="34" ht="14.25" customHeight="1">
      <c r="A34" s="10">
        <v>1.0</v>
      </c>
      <c r="B34" s="10" t="s">
        <v>15</v>
      </c>
      <c r="C34" s="11" t="s">
        <v>73</v>
      </c>
      <c r="D34" s="12">
        <v>167.5</v>
      </c>
      <c r="E34" s="12">
        <f t="shared" si="1"/>
        <v>167.5</v>
      </c>
    </row>
    <row r="35" ht="14.25" customHeight="1">
      <c r="A35" s="15">
        <v>1.0</v>
      </c>
      <c r="B35" s="15" t="s">
        <v>23</v>
      </c>
      <c r="C35" s="16" t="s">
        <v>74</v>
      </c>
      <c r="D35" s="18">
        <v>72.0</v>
      </c>
      <c r="E35" s="18">
        <f t="shared" si="1"/>
        <v>72</v>
      </c>
    </row>
    <row r="36" ht="14.25" customHeight="1">
      <c r="A36" s="10">
        <v>1.0</v>
      </c>
      <c r="B36" s="10" t="s">
        <v>75</v>
      </c>
      <c r="C36" s="11" t="s">
        <v>76</v>
      </c>
      <c r="D36" s="12">
        <v>159.0</v>
      </c>
      <c r="E36" s="12">
        <f t="shared" si="1"/>
        <v>159</v>
      </c>
    </row>
    <row r="37" ht="14.25" customHeight="1">
      <c r="A37" s="15">
        <v>2.0</v>
      </c>
      <c r="B37" s="15" t="s">
        <v>15</v>
      </c>
      <c r="C37" s="16" t="s">
        <v>77</v>
      </c>
      <c r="D37" s="18">
        <v>87.5</v>
      </c>
      <c r="E37" s="18">
        <f t="shared" si="1"/>
        <v>175</v>
      </c>
    </row>
    <row r="38" ht="14.25" customHeight="1">
      <c r="A38" s="10">
        <v>1.0</v>
      </c>
      <c r="B38" s="10" t="s">
        <v>23</v>
      </c>
      <c r="C38" s="11" t="s">
        <v>78</v>
      </c>
      <c r="D38" s="12">
        <v>64.0</v>
      </c>
      <c r="E38" s="12">
        <f t="shared" si="1"/>
        <v>64</v>
      </c>
    </row>
    <row r="39" ht="14.25" customHeight="1">
      <c r="A39" s="15">
        <v>1.0</v>
      </c>
      <c r="B39" s="15" t="s">
        <v>23</v>
      </c>
      <c r="C39" s="16" t="s">
        <v>80</v>
      </c>
      <c r="D39" s="18">
        <v>69.0</v>
      </c>
      <c r="E39" s="18">
        <f t="shared" si="1"/>
        <v>69</v>
      </c>
    </row>
    <row r="40" ht="14.25" customHeight="1">
      <c r="A40" s="10">
        <v>1.0</v>
      </c>
      <c r="B40" s="10" t="s">
        <v>23</v>
      </c>
      <c r="C40" s="11" t="s">
        <v>81</v>
      </c>
      <c r="D40" s="12">
        <v>530.0</v>
      </c>
      <c r="E40" s="12">
        <f t="shared" si="1"/>
        <v>530</v>
      </c>
    </row>
    <row r="41" ht="14.25" customHeight="1">
      <c r="A41" s="15">
        <v>1.0</v>
      </c>
      <c r="B41" s="15" t="s">
        <v>23</v>
      </c>
      <c r="C41" s="16" t="s">
        <v>82</v>
      </c>
      <c r="D41" s="18">
        <v>298.0</v>
      </c>
      <c r="E41" s="18">
        <f t="shared" si="1"/>
        <v>298</v>
      </c>
    </row>
    <row r="42" ht="14.25" customHeight="1">
      <c r="A42" s="10">
        <v>1.0</v>
      </c>
      <c r="B42" s="10" t="s">
        <v>23</v>
      </c>
      <c r="C42" s="11" t="s">
        <v>83</v>
      </c>
      <c r="D42" s="12">
        <v>39.0</v>
      </c>
      <c r="E42" s="12">
        <f t="shared" si="1"/>
        <v>39</v>
      </c>
    </row>
    <row r="43" ht="14.25" customHeight="1">
      <c r="A43" s="15">
        <v>1.0</v>
      </c>
      <c r="B43" s="15" t="s">
        <v>15</v>
      </c>
      <c r="C43" s="16" t="s">
        <v>84</v>
      </c>
      <c r="D43" s="18">
        <v>65.0</v>
      </c>
      <c r="E43" s="18">
        <f t="shared" si="1"/>
        <v>65</v>
      </c>
    </row>
    <row r="44" ht="14.25" customHeight="1">
      <c r="A44" s="15"/>
      <c r="B44" s="15"/>
      <c r="C44" s="16"/>
      <c r="D44" s="18"/>
      <c r="E44" s="18"/>
    </row>
    <row r="45" ht="14.25" customHeight="1">
      <c r="A45" s="15"/>
      <c r="B45" s="15"/>
      <c r="C45" s="16"/>
      <c r="D45" s="18"/>
      <c r="E45" s="18"/>
    </row>
    <row r="46" ht="14.25" customHeight="1">
      <c r="A46" s="15"/>
      <c r="B46" s="15"/>
      <c r="C46" s="16"/>
      <c r="D46" s="18"/>
      <c r="E46" s="18"/>
    </row>
    <row r="47" ht="14.25" customHeight="1">
      <c r="A47" s="15"/>
      <c r="B47" s="15"/>
      <c r="C47" s="16"/>
      <c r="D47" s="18"/>
      <c r="E47" s="18"/>
    </row>
    <row r="48" ht="14.25" customHeight="1">
      <c r="A48" s="30" t="s">
        <v>87</v>
      </c>
      <c r="B48" s="32"/>
      <c r="C48" s="32"/>
      <c r="D48" s="33"/>
      <c r="E48" s="35">
        <f>SUM(E4:E43)</f>
        <v>30069.5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autoFilter ref="$A$3:$E$48"/>
  <mergeCells count="2">
    <mergeCell ref="A1:E1"/>
    <mergeCell ref="A48:D48"/>
  </mergeCells>
  <printOptions/>
  <pageMargins bottom="1.0" footer="0.0" header="0.0" left="0.25" right="0.2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2.57"/>
  </cols>
  <sheetData>
    <row r="1">
      <c r="A1" s="1"/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/>
    </row>
    <row r="3">
      <c r="A3" s="3">
        <v>1.0</v>
      </c>
      <c r="B3" s="4" t="s">
        <v>6</v>
      </c>
      <c r="C3" s="4" t="s">
        <v>7</v>
      </c>
      <c r="D3" s="3">
        <v>175.0</v>
      </c>
      <c r="E3" s="3">
        <v>175.0</v>
      </c>
      <c r="F3" s="1"/>
    </row>
    <row r="4">
      <c r="A4" s="6">
        <v>4.0</v>
      </c>
      <c r="B4" s="1" t="s">
        <v>8</v>
      </c>
      <c r="C4" s="1" t="s">
        <v>9</v>
      </c>
      <c r="D4" s="6">
        <v>40.0</v>
      </c>
      <c r="E4" s="6">
        <v>160.0</v>
      </c>
      <c r="F4" s="1"/>
    </row>
    <row r="5">
      <c r="A5" s="6">
        <v>3.0</v>
      </c>
      <c r="B5" s="1" t="s">
        <v>6</v>
      </c>
      <c r="C5" s="1" t="s">
        <v>10</v>
      </c>
      <c r="D5" s="6">
        <v>210.0</v>
      </c>
      <c r="E5" s="6">
        <v>630.0</v>
      </c>
      <c r="F5" s="1"/>
    </row>
    <row r="6">
      <c r="A6" s="6">
        <v>1.0</v>
      </c>
      <c r="B6" s="1" t="s">
        <v>6</v>
      </c>
      <c r="C6" s="1" t="s">
        <v>11</v>
      </c>
      <c r="D6" s="6">
        <v>768.0</v>
      </c>
      <c r="E6" s="6">
        <v>768.0</v>
      </c>
      <c r="F6" s="1"/>
    </row>
    <row r="7">
      <c r="A7" s="6">
        <v>1.0</v>
      </c>
      <c r="B7" s="1" t="s">
        <v>6</v>
      </c>
      <c r="C7" s="1" t="s">
        <v>88</v>
      </c>
      <c r="D7" s="6">
        <v>440.0</v>
      </c>
      <c r="E7" s="6">
        <v>440.0</v>
      </c>
      <c r="F7" s="1"/>
    </row>
    <row r="8">
      <c r="A8" s="6">
        <v>1.0</v>
      </c>
      <c r="B8" s="1" t="s">
        <v>6</v>
      </c>
      <c r="C8" s="1" t="s">
        <v>91</v>
      </c>
      <c r="D8" s="6">
        <v>415.0</v>
      </c>
      <c r="E8" s="6">
        <v>415.0</v>
      </c>
      <c r="F8" s="1"/>
    </row>
    <row r="9">
      <c r="A9" s="6">
        <v>1.0</v>
      </c>
      <c r="B9" s="1" t="s">
        <v>6</v>
      </c>
      <c r="C9" s="1" t="s">
        <v>92</v>
      </c>
      <c r="D9" s="6">
        <v>396.0</v>
      </c>
      <c r="E9" s="6">
        <v>396.0</v>
      </c>
      <c r="F9" s="1"/>
    </row>
    <row r="10">
      <c r="A10" s="6">
        <v>1.0</v>
      </c>
      <c r="B10" s="1" t="s">
        <v>6</v>
      </c>
      <c r="C10" s="1" t="s">
        <v>94</v>
      </c>
      <c r="D10" s="6">
        <v>305.0</v>
      </c>
      <c r="E10" s="6">
        <v>305.0</v>
      </c>
      <c r="F10" s="1"/>
    </row>
    <row r="11">
      <c r="A11" s="6">
        <v>1.0</v>
      </c>
      <c r="B11" s="1" t="s">
        <v>6</v>
      </c>
      <c r="C11" s="1" t="s">
        <v>95</v>
      </c>
      <c r="D11" s="6">
        <v>345.0</v>
      </c>
      <c r="E11" s="6">
        <v>345.0</v>
      </c>
      <c r="F11" s="1"/>
    </row>
    <row r="12">
      <c r="A12" s="6">
        <v>1.0</v>
      </c>
      <c r="B12" s="1" t="s">
        <v>6</v>
      </c>
      <c r="C12" s="1" t="s">
        <v>96</v>
      </c>
      <c r="D12" s="6">
        <v>260.0</v>
      </c>
      <c r="E12" s="6">
        <v>260.0</v>
      </c>
      <c r="F12" s="1"/>
    </row>
    <row r="13">
      <c r="A13" s="6">
        <v>1.0</v>
      </c>
      <c r="B13" s="1" t="s">
        <v>6</v>
      </c>
      <c r="C13" s="1" t="s">
        <v>97</v>
      </c>
      <c r="D13" s="6">
        <v>192.0</v>
      </c>
      <c r="E13" s="6">
        <v>192.0</v>
      </c>
      <c r="F13" s="1"/>
    </row>
    <row r="14">
      <c r="A14" s="6">
        <v>2.0</v>
      </c>
      <c r="B14" s="1" t="s">
        <v>6</v>
      </c>
      <c r="C14" s="1" t="s">
        <v>98</v>
      </c>
      <c r="D14" s="6">
        <v>200.0</v>
      </c>
      <c r="E14" s="6">
        <v>400.0</v>
      </c>
      <c r="F14" s="1"/>
    </row>
    <row r="15">
      <c r="A15" s="6">
        <v>1.0</v>
      </c>
      <c r="B15" s="1" t="s">
        <v>8</v>
      </c>
      <c r="C15" s="1" t="s">
        <v>99</v>
      </c>
      <c r="D15" s="6">
        <v>50.0</v>
      </c>
      <c r="E15" s="6">
        <v>50.0</v>
      </c>
      <c r="F15" s="1"/>
    </row>
    <row r="16">
      <c r="A16" s="6">
        <v>10.0</v>
      </c>
      <c r="B16" s="1" t="s">
        <v>100</v>
      </c>
      <c r="C16" s="1" t="s">
        <v>101</v>
      </c>
      <c r="D16" s="6">
        <v>94.0</v>
      </c>
      <c r="E16" s="6">
        <v>940.0</v>
      </c>
      <c r="F16" s="1"/>
    </row>
    <row r="17">
      <c r="A17" s="6">
        <v>1.0</v>
      </c>
      <c r="B17" s="1" t="s">
        <v>102</v>
      </c>
      <c r="C17" s="1" t="s">
        <v>103</v>
      </c>
      <c r="D17" s="6">
        <v>250.0</v>
      </c>
      <c r="E17" s="6">
        <v>250.0</v>
      </c>
      <c r="F17" s="1"/>
    </row>
    <row r="18">
      <c r="A18" s="6">
        <v>1.0</v>
      </c>
      <c r="B18" s="1" t="s">
        <v>102</v>
      </c>
      <c r="C18" s="1" t="s">
        <v>104</v>
      </c>
      <c r="D18" s="6">
        <v>210.0</v>
      </c>
      <c r="E18" s="6">
        <v>210.0</v>
      </c>
      <c r="F18" s="1"/>
    </row>
    <row r="19">
      <c r="A19" s="6">
        <v>6.0</v>
      </c>
      <c r="B19" s="1" t="s">
        <v>8</v>
      </c>
      <c r="C19" s="1" t="s">
        <v>106</v>
      </c>
      <c r="D19" s="6">
        <v>84.0</v>
      </c>
      <c r="E19" s="6">
        <v>504.0</v>
      </c>
      <c r="F19" s="1"/>
    </row>
    <row r="20">
      <c r="A20" s="6">
        <v>1.0</v>
      </c>
      <c r="B20" s="1" t="s">
        <v>102</v>
      </c>
      <c r="C20" s="1" t="s">
        <v>107</v>
      </c>
      <c r="D20" s="6">
        <v>1510.0</v>
      </c>
      <c r="E20" s="6">
        <v>1510.0</v>
      </c>
      <c r="F20" s="1"/>
    </row>
    <row r="21">
      <c r="A21" s="6">
        <v>1.0</v>
      </c>
      <c r="B21" s="1" t="s">
        <v>102</v>
      </c>
      <c r="C21" s="1" t="s">
        <v>108</v>
      </c>
      <c r="D21" s="6">
        <v>310.0</v>
      </c>
      <c r="E21" s="6">
        <v>310.0</v>
      </c>
      <c r="F21" s="1"/>
    </row>
    <row r="22">
      <c r="A22" s="6">
        <v>1.0</v>
      </c>
      <c r="B22" s="1" t="s">
        <v>102</v>
      </c>
      <c r="C22" s="1" t="s">
        <v>109</v>
      </c>
      <c r="D22" s="6">
        <v>192.0</v>
      </c>
      <c r="E22" s="6">
        <v>192.0</v>
      </c>
      <c r="F22" s="1"/>
    </row>
    <row r="23">
      <c r="A23" s="6">
        <v>1.0</v>
      </c>
      <c r="B23" s="1" t="s">
        <v>102</v>
      </c>
      <c r="C23" s="1" t="s">
        <v>110</v>
      </c>
      <c r="D23" s="6">
        <v>130.0</v>
      </c>
      <c r="E23" s="6">
        <v>130.0</v>
      </c>
      <c r="F23" s="1"/>
    </row>
    <row r="24">
      <c r="A24" s="6">
        <v>10.0</v>
      </c>
      <c r="B24" s="1" t="s">
        <v>111</v>
      </c>
      <c r="C24" s="1" t="s">
        <v>112</v>
      </c>
      <c r="D24" s="6">
        <v>99.0</v>
      </c>
      <c r="E24" s="6">
        <v>990.0</v>
      </c>
      <c r="F24" s="1"/>
    </row>
    <row r="25">
      <c r="A25" s="6">
        <v>1.0</v>
      </c>
      <c r="B25" s="1" t="s">
        <v>102</v>
      </c>
      <c r="C25" s="1" t="s">
        <v>113</v>
      </c>
      <c r="D25" s="6">
        <v>22.0</v>
      </c>
      <c r="E25" s="6">
        <v>22.0</v>
      </c>
      <c r="F25" s="1"/>
    </row>
    <row r="26">
      <c r="A26" s="6">
        <v>1.0</v>
      </c>
      <c r="B26" s="1" t="s">
        <v>102</v>
      </c>
      <c r="C26" s="1" t="s">
        <v>114</v>
      </c>
      <c r="D26" s="6">
        <v>90.0</v>
      </c>
      <c r="E26" s="6">
        <v>90.0</v>
      </c>
      <c r="F26" s="1"/>
    </row>
    <row r="27">
      <c r="A27" s="6">
        <v>1.0</v>
      </c>
      <c r="B27" s="1" t="s">
        <v>6</v>
      </c>
      <c r="C27" s="1" t="s">
        <v>115</v>
      </c>
      <c r="D27" s="6">
        <v>204.0</v>
      </c>
      <c r="E27" s="6">
        <v>204.0</v>
      </c>
      <c r="F27" s="1"/>
    </row>
    <row r="28">
      <c r="A28" s="1"/>
      <c r="B28" s="1"/>
      <c r="C28" s="1"/>
      <c r="D28" s="1" t="s">
        <v>116</v>
      </c>
      <c r="E28" s="38">
        <v>9888.0</v>
      </c>
      <c r="F28" s="1"/>
    </row>
    <row r="29">
      <c r="A29" s="1"/>
      <c r="B29" s="1"/>
      <c r="C29" s="1"/>
      <c r="D29" s="1"/>
      <c r="E29" s="1"/>
      <c r="F2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69.0"/>
  </cols>
  <sheetData>
    <row r="1">
      <c r="A1" s="13" t="s">
        <v>14</v>
      </c>
      <c r="B1" s="13" t="s">
        <v>17</v>
      </c>
      <c r="C1" s="13" t="s">
        <v>18</v>
      </c>
      <c r="D1" s="14" t="s">
        <v>19</v>
      </c>
      <c r="E1" s="13" t="s">
        <v>20</v>
      </c>
      <c r="F1" s="13" t="s">
        <v>21</v>
      </c>
      <c r="G1" s="14" t="s">
        <v>22</v>
      </c>
    </row>
    <row r="2">
      <c r="A2" s="19">
        <v>46258.0</v>
      </c>
      <c r="B2" s="21" t="s">
        <v>26</v>
      </c>
      <c r="C2" s="23">
        <v>48.0</v>
      </c>
      <c r="D2" s="23" t="s">
        <v>33</v>
      </c>
      <c r="E2" s="24">
        <v>39.25</v>
      </c>
      <c r="F2" s="24">
        <f t="shared" ref="F2:F34" si="1">IF(OR(C2="",E2=""),"",C2*E2)</f>
        <v>1884</v>
      </c>
      <c r="G2" s="23" t="s">
        <v>46</v>
      </c>
    </row>
    <row r="3">
      <c r="A3" s="25">
        <v>46258.0</v>
      </c>
      <c r="B3" s="21" t="s">
        <v>48</v>
      </c>
      <c r="C3" s="26">
        <v>48.0</v>
      </c>
      <c r="D3" s="26" t="s">
        <v>33</v>
      </c>
      <c r="E3" s="27">
        <v>41.79</v>
      </c>
      <c r="F3" s="27">
        <f t="shared" si="1"/>
        <v>2005.92</v>
      </c>
      <c r="G3" s="26" t="s">
        <v>46</v>
      </c>
    </row>
    <row r="4">
      <c r="A4" s="19">
        <v>46258.0</v>
      </c>
      <c r="B4" s="28" t="s">
        <v>62</v>
      </c>
      <c r="C4" s="23">
        <v>24.0</v>
      </c>
      <c r="D4" s="26" t="s">
        <v>33</v>
      </c>
      <c r="E4" s="24">
        <v>37.58</v>
      </c>
      <c r="F4" s="24">
        <f t="shared" si="1"/>
        <v>901.92</v>
      </c>
      <c r="G4" s="23" t="s">
        <v>46</v>
      </c>
    </row>
    <row r="5">
      <c r="A5" s="25">
        <v>46258.0</v>
      </c>
      <c r="B5" s="29" t="s">
        <v>69</v>
      </c>
      <c r="C5" s="26">
        <v>40.0</v>
      </c>
      <c r="D5" s="26" t="s">
        <v>33</v>
      </c>
      <c r="E5" s="27">
        <v>7.3</v>
      </c>
      <c r="F5" s="27">
        <f t="shared" si="1"/>
        <v>292</v>
      </c>
      <c r="G5" s="26" t="s">
        <v>46</v>
      </c>
    </row>
    <row r="6">
      <c r="A6" s="19">
        <v>46258.0</v>
      </c>
      <c r="B6" s="21" t="s">
        <v>79</v>
      </c>
      <c r="C6" s="23">
        <v>35.0</v>
      </c>
      <c r="D6" s="23" t="s">
        <v>33</v>
      </c>
      <c r="E6" s="24">
        <v>9.97</v>
      </c>
      <c r="F6" s="24">
        <f t="shared" si="1"/>
        <v>348.95</v>
      </c>
      <c r="G6" s="23" t="s">
        <v>46</v>
      </c>
    </row>
    <row r="7">
      <c r="A7" s="25">
        <v>46258.0</v>
      </c>
      <c r="B7" s="29" t="s">
        <v>85</v>
      </c>
      <c r="C7" s="26">
        <v>12.0</v>
      </c>
      <c r="D7" s="26" t="s">
        <v>86</v>
      </c>
      <c r="E7" s="31"/>
      <c r="F7" s="31" t="str">
        <f t="shared" si="1"/>
        <v/>
      </c>
      <c r="G7" s="34"/>
    </row>
    <row r="8">
      <c r="A8" s="19">
        <v>46258.0</v>
      </c>
      <c r="B8" s="21" t="s">
        <v>89</v>
      </c>
      <c r="C8" s="23">
        <v>1.0</v>
      </c>
      <c r="D8" s="23" t="s">
        <v>33</v>
      </c>
      <c r="E8" s="36"/>
      <c r="F8" s="36" t="str">
        <f t="shared" si="1"/>
        <v/>
      </c>
      <c r="G8" s="37"/>
    </row>
    <row r="9">
      <c r="A9" s="25">
        <v>46258.0</v>
      </c>
      <c r="B9" s="29" t="s">
        <v>90</v>
      </c>
      <c r="C9" s="26">
        <v>1.0</v>
      </c>
      <c r="D9" s="26" t="s">
        <v>33</v>
      </c>
      <c r="E9" s="31"/>
      <c r="F9" s="31" t="str">
        <f t="shared" si="1"/>
        <v/>
      </c>
      <c r="G9" s="34"/>
    </row>
    <row r="10">
      <c r="A10" s="19">
        <v>46258.0</v>
      </c>
      <c r="B10" s="21" t="s">
        <v>93</v>
      </c>
      <c r="C10" s="23">
        <v>1.0</v>
      </c>
      <c r="D10" s="23" t="s">
        <v>33</v>
      </c>
      <c r="E10" s="36"/>
      <c r="F10" s="36" t="str">
        <f t="shared" si="1"/>
        <v/>
      </c>
      <c r="G10" s="37"/>
    </row>
    <row r="11">
      <c r="A11" s="25">
        <v>46258.0</v>
      </c>
      <c r="B11" s="29" t="s">
        <v>105</v>
      </c>
      <c r="C11" s="26">
        <v>1.0</v>
      </c>
      <c r="D11" s="26" t="s">
        <v>33</v>
      </c>
      <c r="E11" s="31"/>
      <c r="F11" s="31" t="str">
        <f t="shared" si="1"/>
        <v/>
      </c>
      <c r="G11" s="34"/>
    </row>
    <row r="12">
      <c r="A12" s="19">
        <v>46258.0</v>
      </c>
      <c r="B12" s="21" t="s">
        <v>117</v>
      </c>
      <c r="C12" s="23">
        <v>1.0</v>
      </c>
      <c r="D12" s="23" t="s">
        <v>33</v>
      </c>
      <c r="E12" s="36"/>
      <c r="F12" s="36" t="str">
        <f t="shared" si="1"/>
        <v/>
      </c>
      <c r="G12" s="37"/>
    </row>
    <row r="13">
      <c r="A13" s="25">
        <v>46258.0</v>
      </c>
      <c r="B13" s="29" t="s">
        <v>118</v>
      </c>
      <c r="C13" s="26">
        <v>1.0</v>
      </c>
      <c r="D13" s="26" t="s">
        <v>33</v>
      </c>
      <c r="E13" s="31"/>
      <c r="F13" s="31" t="str">
        <f t="shared" si="1"/>
        <v/>
      </c>
      <c r="G13" s="34"/>
    </row>
    <row r="14">
      <c r="A14" s="19">
        <v>46258.0</v>
      </c>
      <c r="B14" s="21" t="s">
        <v>121</v>
      </c>
      <c r="C14" s="23">
        <v>1.0</v>
      </c>
      <c r="D14" s="23" t="s">
        <v>33</v>
      </c>
      <c r="E14" s="36"/>
      <c r="F14" s="36" t="str">
        <f t="shared" si="1"/>
        <v/>
      </c>
      <c r="G14" s="37"/>
    </row>
    <row r="15">
      <c r="A15" s="25">
        <v>46258.0</v>
      </c>
      <c r="B15" s="29" t="s">
        <v>123</v>
      </c>
      <c r="C15" s="26">
        <v>1.0</v>
      </c>
      <c r="D15" s="26" t="s">
        <v>124</v>
      </c>
      <c r="E15" s="31"/>
      <c r="F15" s="31" t="str">
        <f t="shared" si="1"/>
        <v/>
      </c>
      <c r="G15" s="34"/>
    </row>
    <row r="16">
      <c r="A16" s="19">
        <v>46258.0</v>
      </c>
      <c r="B16" s="21" t="s">
        <v>127</v>
      </c>
      <c r="C16" s="23">
        <v>1.0</v>
      </c>
      <c r="D16" s="23" t="s">
        <v>128</v>
      </c>
      <c r="E16" s="36"/>
      <c r="F16" s="36" t="str">
        <f t="shared" si="1"/>
        <v/>
      </c>
      <c r="G16" s="37"/>
    </row>
    <row r="17">
      <c r="A17" s="25">
        <v>46258.0</v>
      </c>
      <c r="B17" s="29" t="s">
        <v>129</v>
      </c>
      <c r="C17" s="26">
        <v>1.0</v>
      </c>
      <c r="D17" s="26" t="s">
        <v>130</v>
      </c>
      <c r="E17" s="31"/>
      <c r="F17" s="31" t="str">
        <f t="shared" si="1"/>
        <v/>
      </c>
      <c r="G17" s="34"/>
    </row>
    <row r="18">
      <c r="A18" s="19">
        <v>46258.0</v>
      </c>
      <c r="B18" s="21" t="s">
        <v>131</v>
      </c>
      <c r="C18" s="23">
        <v>1.0</v>
      </c>
      <c r="D18" s="23" t="s">
        <v>130</v>
      </c>
      <c r="E18" s="36"/>
      <c r="F18" s="36" t="str">
        <f t="shared" si="1"/>
        <v/>
      </c>
      <c r="G18" s="37"/>
    </row>
    <row r="19">
      <c r="A19" s="25">
        <v>46258.0</v>
      </c>
      <c r="B19" s="29" t="s">
        <v>132</v>
      </c>
      <c r="C19" s="26">
        <v>1.0</v>
      </c>
      <c r="D19" s="26" t="s">
        <v>130</v>
      </c>
      <c r="E19" s="31"/>
      <c r="F19" s="31" t="str">
        <f t="shared" si="1"/>
        <v/>
      </c>
      <c r="G19" s="34"/>
    </row>
    <row r="20">
      <c r="A20" s="19">
        <v>46258.0</v>
      </c>
      <c r="B20" s="21" t="s">
        <v>133</v>
      </c>
      <c r="C20" s="23">
        <v>1.0</v>
      </c>
      <c r="D20" s="23" t="s">
        <v>130</v>
      </c>
      <c r="E20" s="36"/>
      <c r="F20" s="36" t="str">
        <f t="shared" si="1"/>
        <v/>
      </c>
      <c r="G20" s="37"/>
    </row>
    <row r="21">
      <c r="A21" s="25">
        <v>46258.0</v>
      </c>
      <c r="B21" s="29" t="s">
        <v>134</v>
      </c>
      <c r="C21" s="26">
        <v>1.0</v>
      </c>
      <c r="D21" s="26" t="s">
        <v>130</v>
      </c>
      <c r="E21" s="31"/>
      <c r="F21" s="31" t="str">
        <f t="shared" si="1"/>
        <v/>
      </c>
      <c r="G21" s="34"/>
    </row>
    <row r="22">
      <c r="A22" s="19">
        <v>46258.0</v>
      </c>
      <c r="B22" s="21" t="s">
        <v>135</v>
      </c>
      <c r="C22" s="23">
        <v>1.0</v>
      </c>
      <c r="D22" s="23" t="s">
        <v>136</v>
      </c>
      <c r="E22" s="36"/>
      <c r="F22" s="36" t="str">
        <f t="shared" si="1"/>
        <v/>
      </c>
      <c r="G22" s="37"/>
    </row>
    <row r="23">
      <c r="A23" s="25">
        <v>46258.0</v>
      </c>
      <c r="B23" s="29" t="s">
        <v>137</v>
      </c>
      <c r="C23" s="26">
        <v>1.0</v>
      </c>
      <c r="D23" s="26" t="s">
        <v>136</v>
      </c>
      <c r="E23" s="31"/>
      <c r="F23" s="31" t="str">
        <f t="shared" si="1"/>
        <v/>
      </c>
      <c r="G23" s="34"/>
    </row>
    <row r="24">
      <c r="A24" s="19">
        <v>46258.0</v>
      </c>
      <c r="B24" s="21" t="s">
        <v>138</v>
      </c>
      <c r="C24" s="23">
        <v>3.0</v>
      </c>
      <c r="D24" s="23" t="s">
        <v>139</v>
      </c>
      <c r="E24" s="36"/>
      <c r="F24" s="36" t="str">
        <f t="shared" si="1"/>
        <v/>
      </c>
      <c r="G24" s="37"/>
    </row>
    <row r="25">
      <c r="A25" s="25">
        <v>46258.0</v>
      </c>
      <c r="B25" s="29" t="s">
        <v>140</v>
      </c>
      <c r="C25" s="26">
        <v>3.0</v>
      </c>
      <c r="D25" s="26" t="s">
        <v>139</v>
      </c>
      <c r="E25" s="31"/>
      <c r="F25" s="31" t="str">
        <f t="shared" si="1"/>
        <v/>
      </c>
      <c r="G25" s="34"/>
    </row>
    <row r="26">
      <c r="A26" s="19">
        <v>46258.0</v>
      </c>
      <c r="B26" s="21" t="s">
        <v>141</v>
      </c>
      <c r="C26" s="23">
        <v>3.0</v>
      </c>
      <c r="D26" s="23" t="s">
        <v>139</v>
      </c>
      <c r="E26" s="36"/>
      <c r="F26" s="36" t="str">
        <f t="shared" si="1"/>
        <v/>
      </c>
      <c r="G26" s="37"/>
    </row>
    <row r="27">
      <c r="A27" s="25">
        <v>46258.0</v>
      </c>
      <c r="B27" s="29" t="s">
        <v>142</v>
      </c>
      <c r="C27" s="26">
        <v>3.0</v>
      </c>
      <c r="D27" s="26" t="s">
        <v>124</v>
      </c>
      <c r="E27" s="31"/>
      <c r="F27" s="31" t="str">
        <f t="shared" si="1"/>
        <v/>
      </c>
      <c r="G27" s="34"/>
    </row>
    <row r="28">
      <c r="A28" s="19">
        <v>46258.0</v>
      </c>
      <c r="B28" s="21" t="s">
        <v>143</v>
      </c>
      <c r="C28" s="23">
        <v>24.0</v>
      </c>
      <c r="D28" s="23" t="s">
        <v>144</v>
      </c>
      <c r="E28" s="36"/>
      <c r="F28" s="36" t="str">
        <f t="shared" si="1"/>
        <v/>
      </c>
      <c r="G28" s="37"/>
    </row>
    <row r="29">
      <c r="A29" s="25">
        <v>46258.0</v>
      </c>
      <c r="B29" s="29" t="s">
        <v>145</v>
      </c>
      <c r="C29" s="26">
        <v>24.0</v>
      </c>
      <c r="D29" s="26" t="s">
        <v>144</v>
      </c>
      <c r="E29" s="31"/>
      <c r="F29" s="31" t="str">
        <f t="shared" si="1"/>
        <v/>
      </c>
      <c r="G29" s="34"/>
    </row>
    <row r="30">
      <c r="A30" s="19">
        <v>46258.0</v>
      </c>
      <c r="B30" s="21" t="s">
        <v>146</v>
      </c>
      <c r="C30" s="23">
        <v>24.0</v>
      </c>
      <c r="D30" s="23" t="s">
        <v>144</v>
      </c>
      <c r="E30" s="36"/>
      <c r="F30" s="36" t="str">
        <f t="shared" si="1"/>
        <v/>
      </c>
      <c r="G30" s="37"/>
    </row>
    <row r="31">
      <c r="A31" s="39">
        <v>46258.0</v>
      </c>
      <c r="B31" s="40" t="s">
        <v>147</v>
      </c>
      <c r="C31" s="41">
        <v>1.0</v>
      </c>
      <c r="D31" s="41" t="s">
        <v>130</v>
      </c>
      <c r="E31" s="42"/>
      <c r="F31" s="42" t="str">
        <f t="shared" si="1"/>
        <v/>
      </c>
      <c r="G31" s="43"/>
    </row>
    <row r="32">
      <c r="A32" s="44">
        <v>46258.0</v>
      </c>
      <c r="B32" s="45" t="s">
        <v>148</v>
      </c>
      <c r="C32" s="46">
        <v>4.0</v>
      </c>
      <c r="D32" s="46" t="s">
        <v>33</v>
      </c>
      <c r="E32" s="47"/>
      <c r="F32" s="47" t="str">
        <f t="shared" si="1"/>
        <v/>
      </c>
      <c r="G32" s="48"/>
    </row>
    <row r="33">
      <c r="A33" s="49">
        <v>46258.0</v>
      </c>
      <c r="B33" s="50" t="s">
        <v>149</v>
      </c>
      <c r="C33" s="51">
        <v>6.0</v>
      </c>
      <c r="D33" s="50" t="s">
        <v>33</v>
      </c>
      <c r="E33" s="52"/>
      <c r="F33" s="52" t="str">
        <f t="shared" si="1"/>
        <v/>
      </c>
      <c r="G33" s="53"/>
    </row>
    <row r="34">
      <c r="A34" s="54">
        <v>46258.0</v>
      </c>
      <c r="B34" s="55" t="s">
        <v>150</v>
      </c>
      <c r="C34" s="56">
        <v>6.0</v>
      </c>
      <c r="D34" s="56" t="s">
        <v>151</v>
      </c>
      <c r="E34" s="47"/>
      <c r="F34" s="47" t="str">
        <f t="shared" si="1"/>
        <v/>
      </c>
      <c r="G34" s="48"/>
    </row>
    <row r="35">
      <c r="A35" s="57">
        <v>46259.0</v>
      </c>
      <c r="B35" s="58" t="s">
        <v>152</v>
      </c>
      <c r="C35" s="59">
        <v>1.0</v>
      </c>
      <c r="D35" s="58" t="s">
        <v>128</v>
      </c>
      <c r="E35" s="52"/>
      <c r="F35" s="52"/>
      <c r="G35" s="53"/>
    </row>
    <row r="36">
      <c r="A36" s="60">
        <v>46259.0</v>
      </c>
      <c r="B36" s="61" t="s">
        <v>153</v>
      </c>
      <c r="C36" s="62">
        <v>1.0</v>
      </c>
      <c r="D36" s="61" t="s">
        <v>130</v>
      </c>
      <c r="E36" s="47"/>
      <c r="F36" s="47" t="str">
        <f t="shared" ref="F36:F39" si="2">IF(OR(C36="",E36=""),"",C36*E36)</f>
        <v/>
      </c>
      <c r="G36" s="48"/>
    </row>
    <row r="37">
      <c r="A37" s="57">
        <v>46259.0</v>
      </c>
      <c r="B37" s="58" t="s">
        <v>154</v>
      </c>
      <c r="C37" s="59">
        <v>1.0</v>
      </c>
      <c r="D37" s="58" t="s">
        <v>130</v>
      </c>
      <c r="E37" s="52"/>
      <c r="F37" s="52" t="str">
        <f t="shared" si="2"/>
        <v/>
      </c>
      <c r="G37" s="53"/>
    </row>
    <row r="38">
      <c r="A38" s="60">
        <v>46259.0</v>
      </c>
      <c r="B38" s="61" t="s">
        <v>155</v>
      </c>
      <c r="C38" s="62">
        <v>1.0</v>
      </c>
      <c r="D38" s="61" t="s">
        <v>128</v>
      </c>
      <c r="E38" s="47"/>
      <c r="F38" s="47" t="str">
        <f t="shared" si="2"/>
        <v/>
      </c>
      <c r="G38" s="48"/>
    </row>
    <row r="39">
      <c r="A39" s="63"/>
      <c r="B39" s="64"/>
      <c r="C39" s="64"/>
      <c r="D39" s="64"/>
      <c r="E39" s="52"/>
      <c r="F39" s="52" t="str">
        <f t="shared" si="2"/>
        <v/>
      </c>
      <c r="G39" s="5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5.0"/>
    <col customWidth="1" min="7" max="7" width="48.57"/>
  </cols>
  <sheetData>
    <row r="1">
      <c r="A1" s="13" t="s">
        <v>14</v>
      </c>
      <c r="B1" s="13" t="s">
        <v>17</v>
      </c>
      <c r="C1" s="13" t="s">
        <v>18</v>
      </c>
      <c r="D1" s="14" t="s">
        <v>19</v>
      </c>
      <c r="E1" s="13" t="s">
        <v>20</v>
      </c>
      <c r="F1" s="13" t="s">
        <v>21</v>
      </c>
      <c r="G1" s="14" t="s">
        <v>22</v>
      </c>
    </row>
    <row r="2">
      <c r="A2" s="17">
        <v>46267.0</v>
      </c>
      <c r="B2" s="20" t="s">
        <v>25</v>
      </c>
      <c r="C2" s="20">
        <v>5.0</v>
      </c>
      <c r="D2" s="20" t="s">
        <v>29</v>
      </c>
      <c r="E2" s="22"/>
      <c r="F2" s="22"/>
      <c r="G2" s="20" t="s">
        <v>31</v>
      </c>
    </row>
    <row r="3">
      <c r="A3" s="17"/>
      <c r="B3" s="20" t="s">
        <v>35</v>
      </c>
      <c r="C3" s="20">
        <v>3.0</v>
      </c>
      <c r="D3" s="20" t="s">
        <v>37</v>
      </c>
      <c r="E3" s="22"/>
      <c r="F3" s="22"/>
      <c r="G3" s="20" t="s">
        <v>40</v>
      </c>
    </row>
    <row r="4">
      <c r="A4" s="17"/>
      <c r="B4" s="20" t="s">
        <v>42</v>
      </c>
      <c r="C4" s="20">
        <v>1.0</v>
      </c>
      <c r="D4" s="20" t="s">
        <v>45</v>
      </c>
      <c r="E4" s="22"/>
      <c r="F4" s="22"/>
      <c r="G4" s="20" t="s">
        <v>47</v>
      </c>
    </row>
    <row r="5">
      <c r="A5" s="17"/>
      <c r="B5" s="20" t="s">
        <v>49</v>
      </c>
      <c r="C5" s="20">
        <v>1.0</v>
      </c>
      <c r="D5" s="20" t="s">
        <v>51</v>
      </c>
      <c r="E5" s="22"/>
      <c r="F5" s="22"/>
      <c r="G5" s="20" t="s">
        <v>54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1.57"/>
    <col customWidth="1" min="7" max="7" width="23.43"/>
  </cols>
  <sheetData>
    <row r="1">
      <c r="A1" s="13" t="s">
        <v>14</v>
      </c>
      <c r="B1" s="13" t="s">
        <v>17</v>
      </c>
      <c r="C1" s="13" t="s">
        <v>18</v>
      </c>
      <c r="D1" s="14" t="s">
        <v>19</v>
      </c>
      <c r="E1" s="13" t="s">
        <v>20</v>
      </c>
      <c r="F1" s="13" t="s">
        <v>21</v>
      </c>
      <c r="G1" s="14" t="s">
        <v>22</v>
      </c>
    </row>
    <row r="2">
      <c r="A2" s="17">
        <v>46268.0</v>
      </c>
      <c r="B2" s="20" t="s">
        <v>119</v>
      </c>
      <c r="C2" s="20">
        <v>10.0</v>
      </c>
      <c r="D2" s="20" t="s">
        <v>111</v>
      </c>
      <c r="E2" s="22"/>
      <c r="F2" s="22"/>
      <c r="G2" s="20"/>
    </row>
    <row r="3">
      <c r="A3" s="17"/>
      <c r="B3" s="20" t="s">
        <v>120</v>
      </c>
      <c r="C3" s="20">
        <v>10.0</v>
      </c>
      <c r="D3" s="20" t="s">
        <v>111</v>
      </c>
      <c r="E3" s="22"/>
      <c r="F3" s="22"/>
      <c r="G3" s="20"/>
    </row>
    <row r="4">
      <c r="A4" s="17"/>
      <c r="B4" s="20" t="s">
        <v>122</v>
      </c>
      <c r="C4" s="20">
        <v>10.0</v>
      </c>
      <c r="D4" s="20" t="s">
        <v>111</v>
      </c>
      <c r="E4" s="22"/>
      <c r="F4" s="22"/>
      <c r="G4" s="20"/>
    </row>
    <row r="5">
      <c r="A5" s="17"/>
      <c r="B5" s="20" t="s">
        <v>125</v>
      </c>
      <c r="C5" s="20">
        <v>20.0</v>
      </c>
      <c r="D5" s="20" t="s">
        <v>111</v>
      </c>
      <c r="E5" s="22"/>
      <c r="F5" s="22"/>
      <c r="G5" s="20" t="s">
        <v>126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2026-08-25T01:21:00Z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5FFD22F2BD814376923E715B1DE639C8_12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