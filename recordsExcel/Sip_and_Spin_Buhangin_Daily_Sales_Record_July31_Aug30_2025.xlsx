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ales Record" sheetId="1" r:id="rId4"/>
    <sheet state="visible" name="Monthly Summary" sheetId="2" r:id="rId5"/>
  </sheets>
  <definedNames>
    <definedName hidden="1" localSheetId="0" name="_xlnm._FilterDatabase">'Daily Sales Record'!$A$1:$M$33</definedName>
  </definedNames>
  <calcPr/>
  <extLst>
    <ext uri="GoogleSheetsCustomDataVersion2">
      <go:sheetsCustomData xmlns:go="http://customooxmlschemas.google.com/" r:id="rId6" roundtripDataChecksum="yyKgSkwRWQ5SvKUVlgbgN30dFor7LgmaR+4vbXXdeL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CAFE- 307
LAUNDRY- 578
======</t>
      </text>
    </comment>
    <comment authorId="0" ref="H8">
      <text>
        <t xml:space="preserve">BPI-98
======</t>
      </text>
    </comment>
    <comment authorId="0" ref="H7">
      <text>
        <t xml:space="preserve">CAFE-99
======</t>
      </text>
    </comment>
    <comment authorId="0" ref="G4">
      <text>
        <t xml:space="preserve">LAUNDRY-345
======</t>
      </text>
    </comment>
    <comment authorId="0" ref="G13">
      <text>
        <t xml:space="preserve">CAFE-258
======</t>
      </text>
    </comment>
    <comment authorId="0" ref="H9">
      <text>
        <t xml:space="preserve">BPI-98
======</t>
      </text>
    </comment>
  </commentList>
</comments>
</file>

<file path=xl/sharedStrings.xml><?xml version="1.0" encoding="utf-8"?>
<sst xmlns="http://schemas.openxmlformats.org/spreadsheetml/2006/main" count="61" uniqueCount="31">
  <si>
    <t>SIP AND SPIN BUHANGIN</t>
  </si>
  <si>
    <t>DAILY SALES RECORD SUMMARY</t>
  </si>
  <si>
    <t>Date</t>
  </si>
  <si>
    <t>Period: July 31, 2025 to August 30, 2025</t>
  </si>
  <si>
    <t>Total Cafe Sales</t>
  </si>
  <si>
    <t>Day</t>
  </si>
  <si>
    <t>Cafe Sales</t>
  </si>
  <si>
    <t>Laundry Sales</t>
  </si>
  <si>
    <t>Total Sales</t>
  </si>
  <si>
    <t>Cash Received</t>
  </si>
  <si>
    <t>GCash Received</t>
  </si>
  <si>
    <t>Bank Received</t>
  </si>
  <si>
    <t>Total Payments Received</t>
  </si>
  <si>
    <t>Amount Deposited</t>
  </si>
  <si>
    <t>Deposit Status</t>
  </si>
  <si>
    <t>Deposit Date</t>
  </si>
  <si>
    <t>Total Laundry Sales</t>
  </si>
  <si>
    <t>Remarks</t>
  </si>
  <si>
    <t>Thursday</t>
  </si>
  <si>
    <t>Grand Total Sales</t>
  </si>
  <si>
    <t>Total Cash Received</t>
  </si>
  <si>
    <t>Total GCash Received</t>
  </si>
  <si>
    <t>Total Bank Received</t>
  </si>
  <si>
    <t>Total Amount Deposited</t>
  </si>
  <si>
    <t>VERIFIED AND CHECKED</t>
  </si>
  <si>
    <t>Friday</t>
  </si>
  <si>
    <t>Saturday</t>
  </si>
  <si>
    <t>Sunday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</si>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</sst>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0" fillId="0" fontId="2" numFmtId="4" xfId="0" applyFont="1" applyNumberFormat="1"/>
    <xf borderId="1" fillId="2" fontId="2" numFmtId="164" xfId="0" applyBorder="1" applyFill="1" applyFont="1" applyNumberFormat="1"/>
    <xf borderId="1" fillId="2" fontId="2" numFmtId="0" xfId="0" applyBorder="1" applyFont="1"/>
    <xf borderId="1" fillId="2" fontId="2" numFmtId="4" xfId="0" applyBorder="1" applyFont="1" applyNumberFormat="1"/>
    <xf borderId="1" fillId="2" fontId="2" numFmtId="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4" xfId="0" applyAlignment="1" applyBorder="1" applyFont="1" applyNumberFormat="1">
      <alignment readingOrder="0"/>
    </xf>
    <xf borderId="1" fillId="0" fontId="2" numFmtId="4" xfId="0" applyBorder="1" applyFont="1" applyNumberFormat="1"/>
    <xf borderId="1" fillId="0" fontId="3" numFmtId="0" xfId="0" applyBorder="1" applyFont="1"/>
    <xf borderId="0" fillId="0" fontId="3" numFmtId="0" xfId="0" applyAlignment="1" applyFon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5.0"/>
    <col customWidth="1" min="4" max="4" width="16.0"/>
    <col customWidth="1" min="5" max="5" width="15.0"/>
    <col customWidth="1" min="6" max="8" width="17.0"/>
    <col customWidth="1" min="9" max="9" width="22.0"/>
    <col customWidth="1" min="10" max="11" width="18.0"/>
    <col customWidth="1" min="12" max="12" width="16.0"/>
    <col customWidth="1" min="13" max="13" width="35.0"/>
    <col customWidth="1" min="14" max="26" width="9.0"/>
  </cols>
  <sheetData>
    <row r="1" ht="14.25" customHeight="1">
      <c r="A1" s="2" t="s">
        <v>2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17</v>
      </c>
    </row>
    <row r="2" ht="14.25" customHeight="1">
      <c r="A2" s="4">
        <v>45869.0</v>
      </c>
      <c r="B2" s="5" t="s">
        <v>18</v>
      </c>
      <c r="C2" s="6"/>
      <c r="D2" s="7">
        <v>599.0</v>
      </c>
      <c r="E2" s="6">
        <f t="shared" ref="E2:E32" si="1">IF(COUNTA(C2:D2)=0,"",SUM(C2:D2))</f>
        <v>599</v>
      </c>
      <c r="F2" s="7">
        <v>599.0</v>
      </c>
      <c r="G2" s="6"/>
      <c r="H2" s="6"/>
      <c r="I2" s="6">
        <f t="shared" ref="I2:I14" si="2">IF(COUNTA(F2:H2)=0,"",SUM(F2:H2))</f>
        <v>599</v>
      </c>
      <c r="J2" s="6"/>
      <c r="K2" s="8"/>
      <c r="L2" s="8">
        <v>46241.0</v>
      </c>
      <c r="M2" s="9" t="s">
        <v>24</v>
      </c>
    </row>
    <row r="3" ht="14.25" customHeight="1">
      <c r="A3" s="4">
        <v>45870.0</v>
      </c>
      <c r="B3" s="5" t="s">
        <v>25</v>
      </c>
      <c r="C3" s="7">
        <v>426.0</v>
      </c>
      <c r="D3" s="7">
        <v>520.0</v>
      </c>
      <c r="E3" s="6">
        <f t="shared" si="1"/>
        <v>946</v>
      </c>
      <c r="F3" s="7">
        <v>946.0</v>
      </c>
      <c r="G3" s="6"/>
      <c r="H3" s="6"/>
      <c r="I3" s="6">
        <f t="shared" si="2"/>
        <v>946</v>
      </c>
      <c r="J3" s="6"/>
      <c r="K3" s="8"/>
      <c r="L3" s="8">
        <v>46241.0</v>
      </c>
      <c r="M3" s="9" t="s">
        <v>24</v>
      </c>
    </row>
    <row r="4" ht="14.25" customHeight="1">
      <c r="A4" s="4">
        <v>45871.0</v>
      </c>
      <c r="B4" s="5" t="s">
        <v>26</v>
      </c>
      <c r="C4" s="7">
        <v>515.0</v>
      </c>
      <c r="D4" s="7">
        <v>575.0</v>
      </c>
      <c r="E4" s="6">
        <f t="shared" si="1"/>
        <v>1090</v>
      </c>
      <c r="F4" s="7">
        <v>745.0</v>
      </c>
      <c r="G4" s="7">
        <v>345.0</v>
      </c>
      <c r="H4" s="6"/>
      <c r="I4" s="6">
        <f t="shared" si="2"/>
        <v>1090</v>
      </c>
      <c r="J4" s="6"/>
      <c r="K4" s="8"/>
      <c r="L4" s="8">
        <v>46241.0</v>
      </c>
      <c r="M4" s="9" t="s">
        <v>24</v>
      </c>
    </row>
    <row r="5" ht="14.25" customHeight="1">
      <c r="A5" s="4">
        <v>45872.0</v>
      </c>
      <c r="B5" s="5" t="s">
        <v>27</v>
      </c>
      <c r="C5" s="7">
        <v>526.0</v>
      </c>
      <c r="D5" s="10">
        <v>198.0</v>
      </c>
      <c r="E5" s="6">
        <f t="shared" si="1"/>
        <v>724</v>
      </c>
      <c r="F5" s="7">
        <v>724.0</v>
      </c>
      <c r="G5" s="6"/>
      <c r="H5" s="6"/>
      <c r="I5" s="6">
        <f t="shared" si="2"/>
        <v>724</v>
      </c>
      <c r="J5" s="6"/>
      <c r="K5" s="8"/>
      <c r="L5" s="8">
        <v>46241.0</v>
      </c>
      <c r="M5" s="9" t="s">
        <v>24</v>
      </c>
    </row>
    <row r="6" ht="14.25" customHeight="1">
      <c r="A6" s="4">
        <v>45873.0</v>
      </c>
      <c r="B6" s="5" t="s">
        <v>28</v>
      </c>
      <c r="C6" s="7">
        <v>2132.0</v>
      </c>
      <c r="D6" s="7">
        <v>2005.0</v>
      </c>
      <c r="E6" s="6">
        <f t="shared" si="1"/>
        <v>4137</v>
      </c>
      <c r="F6" s="7">
        <v>4137.0</v>
      </c>
      <c r="G6" s="6"/>
      <c r="H6" s="6"/>
      <c r="I6" s="6">
        <f t="shared" si="2"/>
        <v>4137</v>
      </c>
      <c r="J6" s="6"/>
      <c r="K6" s="8"/>
      <c r="L6" s="8">
        <v>46241.0</v>
      </c>
      <c r="M6" s="9" t="s">
        <v>24</v>
      </c>
    </row>
    <row r="7" ht="14.25" customHeight="1">
      <c r="A7" s="4">
        <v>45874.0</v>
      </c>
      <c r="B7" s="5" t="s">
        <v>29</v>
      </c>
      <c r="C7" s="7">
        <v>2199.0</v>
      </c>
      <c r="D7" s="7">
        <v>5690.0</v>
      </c>
      <c r="E7" s="6">
        <f t="shared" si="1"/>
        <v>7889</v>
      </c>
      <c r="F7" s="7">
        <v>6905.0</v>
      </c>
      <c r="G7" s="7">
        <v>885.0</v>
      </c>
      <c r="H7" s="7">
        <v>99.0</v>
      </c>
      <c r="I7" s="6">
        <f t="shared" si="2"/>
        <v>7889</v>
      </c>
      <c r="J7" s="6"/>
      <c r="K7" s="8"/>
      <c r="L7" s="8">
        <v>46241.0</v>
      </c>
      <c r="M7" s="9" t="s">
        <v>24</v>
      </c>
    </row>
    <row r="8" ht="14.25" customHeight="1">
      <c r="A8" s="11">
        <v>45875.0</v>
      </c>
      <c r="B8" s="12" t="s">
        <v>30</v>
      </c>
      <c r="C8" s="13">
        <v>1052.0</v>
      </c>
      <c r="D8" s="7">
        <v>1044.0</v>
      </c>
      <c r="E8" s="14">
        <f t="shared" si="1"/>
        <v>2096</v>
      </c>
      <c r="F8" s="13">
        <v>2096.0</v>
      </c>
      <c r="G8" s="14"/>
      <c r="H8" s="13"/>
      <c r="I8" s="14">
        <f t="shared" si="2"/>
        <v>2096</v>
      </c>
      <c r="J8" s="14"/>
      <c r="K8" s="11"/>
      <c r="L8" s="12"/>
      <c r="M8" s="15"/>
    </row>
    <row r="9" ht="14.25" customHeight="1">
      <c r="A9" s="11">
        <v>45876.0</v>
      </c>
      <c r="B9" s="12" t="s">
        <v>18</v>
      </c>
      <c r="C9" s="16">
        <v>396.0</v>
      </c>
      <c r="D9" s="13">
        <v>551.0</v>
      </c>
      <c r="E9" s="14">
        <f t="shared" si="1"/>
        <v>947</v>
      </c>
      <c r="F9" s="13">
        <v>947.0</v>
      </c>
      <c r="G9" s="14"/>
      <c r="H9" s="13">
        <v>98.0</v>
      </c>
      <c r="I9" s="14">
        <f t="shared" si="2"/>
        <v>1045</v>
      </c>
      <c r="J9" s="14"/>
      <c r="K9" s="11"/>
      <c r="L9" s="12"/>
      <c r="M9" s="15"/>
    </row>
    <row r="10" ht="14.25" customHeight="1">
      <c r="A10" s="11">
        <v>45877.0</v>
      </c>
      <c r="B10" s="12" t="s">
        <v>25</v>
      </c>
      <c r="C10" s="13">
        <v>1209.0</v>
      </c>
      <c r="D10" s="13">
        <v>552.0</v>
      </c>
      <c r="E10" s="14">
        <f t="shared" si="1"/>
        <v>1761</v>
      </c>
      <c r="F10" s="13">
        <v>1761.0</v>
      </c>
      <c r="G10" s="14"/>
      <c r="H10" s="14"/>
      <c r="I10" s="14">
        <f t="shared" si="2"/>
        <v>1761</v>
      </c>
      <c r="J10" s="14"/>
      <c r="K10" s="11"/>
      <c r="L10" s="12"/>
      <c r="M10" s="15"/>
    </row>
    <row r="11" ht="14.25" customHeight="1">
      <c r="A11" s="11">
        <v>45878.0</v>
      </c>
      <c r="B11" s="12" t="s">
        <v>26</v>
      </c>
      <c r="C11" s="13">
        <v>2785.0</v>
      </c>
      <c r="D11" s="13">
        <v>1990.0</v>
      </c>
      <c r="E11" s="14">
        <f t="shared" si="1"/>
        <v>4775</v>
      </c>
      <c r="F11" s="14">
        <f>SUM(C11:D11)-SUM(G11:H11)</f>
        <v>4775</v>
      </c>
      <c r="G11" s="14"/>
      <c r="H11" s="14"/>
      <c r="I11" s="14">
        <f t="shared" si="2"/>
        <v>4775</v>
      </c>
      <c r="J11" s="14"/>
      <c r="K11" s="11"/>
      <c r="L11" s="12"/>
      <c r="M11" s="15"/>
    </row>
    <row r="12" ht="14.25" customHeight="1">
      <c r="A12" s="11">
        <v>45879.0</v>
      </c>
      <c r="B12" s="12" t="s">
        <v>27</v>
      </c>
      <c r="C12" s="13">
        <v>278.0</v>
      </c>
      <c r="D12" s="13">
        <v>2406.0</v>
      </c>
      <c r="E12" s="14">
        <f t="shared" si="1"/>
        <v>2684</v>
      </c>
      <c r="F12" s="13">
        <v>2684.0</v>
      </c>
      <c r="G12" s="14"/>
      <c r="H12" s="14"/>
      <c r="I12" s="14">
        <f t="shared" si="2"/>
        <v>2684</v>
      </c>
      <c r="J12" s="14"/>
      <c r="K12" s="11"/>
      <c r="L12" s="12"/>
      <c r="M12" s="15"/>
    </row>
    <row r="13" ht="14.25" customHeight="1">
      <c r="A13" s="11">
        <v>45880.0</v>
      </c>
      <c r="B13" s="12" t="s">
        <v>28</v>
      </c>
      <c r="C13" s="13">
        <v>863.0</v>
      </c>
      <c r="D13" s="13">
        <v>995.0</v>
      </c>
      <c r="E13" s="14">
        <f t="shared" si="1"/>
        <v>1858</v>
      </c>
      <c r="F13" s="13">
        <v>1600.0</v>
      </c>
      <c r="G13" s="13">
        <v>258.0</v>
      </c>
      <c r="H13" s="14"/>
      <c r="I13" s="14">
        <f t="shared" si="2"/>
        <v>1858</v>
      </c>
      <c r="J13" s="14"/>
      <c r="K13" s="11"/>
      <c r="L13" s="12"/>
      <c r="M13" s="15"/>
    </row>
    <row r="14" ht="14.25" customHeight="1">
      <c r="A14" s="11">
        <v>45881.0</v>
      </c>
      <c r="B14" s="12" t="s">
        <v>29</v>
      </c>
      <c r="C14" s="13">
        <v>230.0</v>
      </c>
      <c r="D14" s="13">
        <v>0.0</v>
      </c>
      <c r="E14" s="14">
        <f t="shared" si="1"/>
        <v>230</v>
      </c>
      <c r="F14" s="13">
        <v>230.0</v>
      </c>
      <c r="G14" s="14"/>
      <c r="H14" s="14"/>
      <c r="I14" s="14">
        <f t="shared" si="2"/>
        <v>230</v>
      </c>
      <c r="J14" s="14"/>
      <c r="K14" s="11"/>
      <c r="L14" s="12"/>
      <c r="M14" s="15"/>
    </row>
    <row r="15" ht="14.25" customHeight="1">
      <c r="A15" s="11">
        <v>45882.0</v>
      </c>
      <c r="B15" s="12" t="s">
        <v>30</v>
      </c>
      <c r="C15" s="14"/>
      <c r="D15" s="14"/>
      <c r="E15" s="14" t="str">
        <f t="shared" si="1"/>
        <v/>
      </c>
      <c r="F15" s="14"/>
      <c r="G15" s="14"/>
      <c r="H15" s="14"/>
      <c r="I15" s="14"/>
      <c r="J15" s="14"/>
      <c r="K15" s="11"/>
      <c r="L15" s="12"/>
      <c r="M15" s="15"/>
    </row>
    <row r="16" ht="14.25" customHeight="1">
      <c r="A16" s="11">
        <v>45883.0</v>
      </c>
      <c r="B16" s="12" t="s">
        <v>18</v>
      </c>
      <c r="C16" s="14"/>
      <c r="D16" s="14"/>
      <c r="E16" s="14" t="str">
        <f t="shared" si="1"/>
        <v/>
      </c>
      <c r="F16" s="14"/>
      <c r="G16" s="14"/>
      <c r="H16" s="14"/>
      <c r="I16" s="14" t="str">
        <f t="shared" ref="I16:I32" si="3">IF(COUNTA(F16:H16)=0,"",SUM(F16:H16))</f>
        <v/>
      </c>
      <c r="J16" s="14"/>
      <c r="K16" s="11"/>
      <c r="L16" s="12"/>
      <c r="M16" s="15"/>
    </row>
    <row r="17" ht="14.25" customHeight="1">
      <c r="A17" s="11">
        <v>45884.0</v>
      </c>
      <c r="B17" s="12" t="s">
        <v>25</v>
      </c>
      <c r="C17" s="14"/>
      <c r="D17" s="14"/>
      <c r="E17" s="14" t="str">
        <f t="shared" si="1"/>
        <v/>
      </c>
      <c r="F17" s="14"/>
      <c r="G17" s="14"/>
      <c r="H17" s="14"/>
      <c r="I17" s="14" t="str">
        <f t="shared" si="3"/>
        <v/>
      </c>
      <c r="J17" s="14"/>
      <c r="K17" s="11"/>
      <c r="L17" s="12"/>
      <c r="M17" s="15"/>
    </row>
    <row r="18" ht="14.25" customHeight="1">
      <c r="A18" s="11">
        <v>45885.0</v>
      </c>
      <c r="B18" s="12" t="s">
        <v>26</v>
      </c>
      <c r="C18" s="14"/>
      <c r="D18" s="14"/>
      <c r="E18" s="14" t="str">
        <f t="shared" si="1"/>
        <v/>
      </c>
      <c r="F18" s="14"/>
      <c r="G18" s="14"/>
      <c r="H18" s="14"/>
      <c r="I18" s="14" t="str">
        <f t="shared" si="3"/>
        <v/>
      </c>
      <c r="J18" s="14"/>
      <c r="K18" s="11"/>
      <c r="L18" s="12"/>
      <c r="M18" s="15"/>
    </row>
    <row r="19" ht="14.25" customHeight="1">
      <c r="A19" s="11">
        <v>45886.0</v>
      </c>
      <c r="B19" s="12" t="s">
        <v>27</v>
      </c>
      <c r="C19" s="14"/>
      <c r="D19" s="14"/>
      <c r="E19" s="14" t="str">
        <f t="shared" si="1"/>
        <v/>
      </c>
      <c r="F19" s="14"/>
      <c r="G19" s="14"/>
      <c r="H19" s="14"/>
      <c r="I19" s="14" t="str">
        <f t="shared" si="3"/>
        <v/>
      </c>
      <c r="J19" s="14"/>
      <c r="K19" s="11"/>
      <c r="L19" s="12"/>
      <c r="M19" s="15"/>
    </row>
    <row r="20" ht="14.25" customHeight="1">
      <c r="A20" s="11">
        <v>45887.0</v>
      </c>
      <c r="B20" s="12" t="s">
        <v>28</v>
      </c>
      <c r="C20" s="14"/>
      <c r="D20" s="14"/>
      <c r="E20" s="14" t="str">
        <f t="shared" si="1"/>
        <v/>
      </c>
      <c r="F20" s="14"/>
      <c r="G20" s="14"/>
      <c r="H20" s="14"/>
      <c r="I20" s="14" t="str">
        <f t="shared" si="3"/>
        <v/>
      </c>
      <c r="J20" s="14"/>
      <c r="K20" s="11"/>
      <c r="L20" s="12"/>
      <c r="M20" s="15"/>
    </row>
    <row r="21" ht="14.25" customHeight="1">
      <c r="A21" s="11">
        <v>45888.0</v>
      </c>
      <c r="B21" s="12" t="s">
        <v>29</v>
      </c>
      <c r="C21" s="14"/>
      <c r="D21" s="14"/>
      <c r="E21" s="14" t="str">
        <f t="shared" si="1"/>
        <v/>
      </c>
      <c r="F21" s="14"/>
      <c r="G21" s="14"/>
      <c r="H21" s="14"/>
      <c r="I21" s="14" t="str">
        <f t="shared" si="3"/>
        <v/>
      </c>
      <c r="J21" s="14"/>
      <c r="K21" s="11"/>
      <c r="L21" s="12"/>
      <c r="M21" s="15"/>
    </row>
    <row r="22" ht="14.25" customHeight="1">
      <c r="A22" s="11">
        <v>45889.0</v>
      </c>
      <c r="B22" s="12" t="s">
        <v>30</v>
      </c>
      <c r="C22" s="14"/>
      <c r="D22" s="14"/>
      <c r="E22" s="14" t="str">
        <f t="shared" si="1"/>
        <v/>
      </c>
      <c r="F22" s="14"/>
      <c r="G22" s="14"/>
      <c r="H22" s="14"/>
      <c r="I22" s="14" t="str">
        <f t="shared" si="3"/>
        <v/>
      </c>
      <c r="J22" s="14"/>
      <c r="K22" s="11"/>
      <c r="L22" s="12"/>
      <c r="M22" s="15"/>
    </row>
    <row r="23" ht="14.25" customHeight="1">
      <c r="A23" s="11">
        <v>45890.0</v>
      </c>
      <c r="B23" s="12" t="s">
        <v>18</v>
      </c>
      <c r="C23" s="14"/>
      <c r="D23" s="14"/>
      <c r="E23" s="14" t="str">
        <f t="shared" si="1"/>
        <v/>
      </c>
      <c r="F23" s="14"/>
      <c r="G23" s="14"/>
      <c r="H23" s="14"/>
      <c r="I23" s="14" t="str">
        <f t="shared" si="3"/>
        <v/>
      </c>
      <c r="J23" s="14"/>
      <c r="K23" s="11"/>
      <c r="L23" s="12"/>
      <c r="M23" s="15"/>
    </row>
    <row r="24" ht="14.25" customHeight="1">
      <c r="A24" s="11">
        <v>45891.0</v>
      </c>
      <c r="B24" s="12" t="s">
        <v>25</v>
      </c>
      <c r="C24" s="14"/>
      <c r="D24" s="14"/>
      <c r="E24" s="14" t="str">
        <f t="shared" si="1"/>
        <v/>
      </c>
      <c r="F24" s="14"/>
      <c r="G24" s="14"/>
      <c r="H24" s="14"/>
      <c r="I24" s="14" t="str">
        <f t="shared" si="3"/>
        <v/>
      </c>
      <c r="J24" s="14"/>
      <c r="K24" s="11"/>
      <c r="L24" s="12"/>
      <c r="M24" s="15"/>
    </row>
    <row r="25" ht="14.25" customHeight="1">
      <c r="A25" s="11">
        <v>45892.0</v>
      </c>
      <c r="B25" s="12" t="s">
        <v>26</v>
      </c>
      <c r="C25" s="14"/>
      <c r="D25" s="14"/>
      <c r="E25" s="14" t="str">
        <f t="shared" si="1"/>
        <v/>
      </c>
      <c r="F25" s="14"/>
      <c r="G25" s="14"/>
      <c r="H25" s="14"/>
      <c r="I25" s="14" t="str">
        <f t="shared" si="3"/>
        <v/>
      </c>
      <c r="J25" s="14"/>
      <c r="K25" s="11"/>
      <c r="L25" s="12"/>
      <c r="M25" s="15"/>
    </row>
    <row r="26" ht="14.25" customHeight="1">
      <c r="A26" s="11">
        <v>45893.0</v>
      </c>
      <c r="B26" s="12" t="s">
        <v>27</v>
      </c>
      <c r="C26" s="14"/>
      <c r="D26" s="14"/>
      <c r="E26" s="14" t="str">
        <f t="shared" si="1"/>
        <v/>
      </c>
      <c r="F26" s="14"/>
      <c r="G26" s="14"/>
      <c r="H26" s="14"/>
      <c r="I26" s="14" t="str">
        <f t="shared" si="3"/>
        <v/>
      </c>
      <c r="J26" s="14"/>
      <c r="K26" s="11"/>
      <c r="L26" s="12"/>
      <c r="M26" s="15"/>
    </row>
    <row r="27" ht="14.25" customHeight="1">
      <c r="A27" s="11">
        <v>45894.0</v>
      </c>
      <c r="B27" s="12" t="s">
        <v>28</v>
      </c>
      <c r="C27" s="14"/>
      <c r="D27" s="14"/>
      <c r="E27" s="14" t="str">
        <f t="shared" si="1"/>
        <v/>
      </c>
      <c r="F27" s="14"/>
      <c r="G27" s="14"/>
      <c r="H27" s="14"/>
      <c r="I27" s="14" t="str">
        <f t="shared" si="3"/>
        <v/>
      </c>
      <c r="J27" s="14"/>
      <c r="K27" s="11"/>
      <c r="L27" s="12"/>
      <c r="M27" s="15"/>
    </row>
    <row r="28" ht="14.25" customHeight="1">
      <c r="A28" s="11">
        <v>45895.0</v>
      </c>
      <c r="B28" s="12" t="s">
        <v>29</v>
      </c>
      <c r="C28" s="14"/>
      <c r="D28" s="14"/>
      <c r="E28" s="14" t="str">
        <f t="shared" si="1"/>
        <v/>
      </c>
      <c r="F28" s="14"/>
      <c r="G28" s="14"/>
      <c r="H28" s="14"/>
      <c r="I28" s="14" t="str">
        <f t="shared" si="3"/>
        <v/>
      </c>
      <c r="J28" s="14"/>
      <c r="K28" s="11"/>
      <c r="L28" s="12"/>
      <c r="M28" s="15"/>
    </row>
    <row r="29" ht="14.25" customHeight="1">
      <c r="A29" s="11">
        <v>45896.0</v>
      </c>
      <c r="B29" s="12" t="s">
        <v>30</v>
      </c>
      <c r="C29" s="14"/>
      <c r="D29" s="14"/>
      <c r="E29" s="14" t="str">
        <f t="shared" si="1"/>
        <v/>
      </c>
      <c r="F29" s="14"/>
      <c r="G29" s="14"/>
      <c r="H29" s="14"/>
      <c r="I29" s="14" t="str">
        <f t="shared" si="3"/>
        <v/>
      </c>
      <c r="J29" s="14"/>
      <c r="K29" s="11"/>
      <c r="L29" s="12"/>
      <c r="M29" s="15"/>
    </row>
    <row r="30" ht="14.25" customHeight="1">
      <c r="A30" s="11">
        <v>45897.0</v>
      </c>
      <c r="B30" s="12" t="s">
        <v>18</v>
      </c>
      <c r="C30" s="14"/>
      <c r="D30" s="14"/>
      <c r="E30" s="14" t="str">
        <f t="shared" si="1"/>
        <v/>
      </c>
      <c r="F30" s="14"/>
      <c r="G30" s="14"/>
      <c r="H30" s="14"/>
      <c r="I30" s="14" t="str">
        <f t="shared" si="3"/>
        <v/>
      </c>
      <c r="J30" s="14"/>
      <c r="K30" s="11"/>
      <c r="L30" s="12"/>
      <c r="M30" s="15"/>
    </row>
    <row r="31" ht="14.25" customHeight="1">
      <c r="A31" s="11">
        <v>45898.0</v>
      </c>
      <c r="B31" s="12" t="s">
        <v>25</v>
      </c>
      <c r="C31" s="14"/>
      <c r="D31" s="14"/>
      <c r="E31" s="14" t="str">
        <f t="shared" si="1"/>
        <v/>
      </c>
      <c r="F31" s="14"/>
      <c r="G31" s="14"/>
      <c r="H31" s="14"/>
      <c r="I31" s="14" t="str">
        <f t="shared" si="3"/>
        <v/>
      </c>
      <c r="J31" s="14"/>
      <c r="K31" s="11"/>
      <c r="L31" s="12"/>
      <c r="M31" s="15"/>
    </row>
    <row r="32" ht="14.25" customHeight="1">
      <c r="A32" s="11">
        <v>45899.0</v>
      </c>
      <c r="B32" s="12" t="s">
        <v>26</v>
      </c>
      <c r="C32" s="14"/>
      <c r="D32" s="14"/>
      <c r="E32" s="14" t="str">
        <f t="shared" si="1"/>
        <v/>
      </c>
      <c r="F32" s="14"/>
      <c r="G32" s="14"/>
      <c r="H32" s="14"/>
      <c r="I32" s="14" t="str">
        <f t="shared" si="3"/>
        <v/>
      </c>
      <c r="J32" s="14"/>
      <c r="K32" s="11"/>
      <c r="L32" s="12"/>
      <c r="M32" s="15"/>
    </row>
    <row r="33" ht="14.25" customHeight="1">
      <c r="A33" s="12"/>
      <c r="B33" s="12"/>
      <c r="C33" s="14">
        <f t="shared" ref="C33:E33" si="4">SUM(C2:C32)</f>
        <v>12611</v>
      </c>
      <c r="D33" s="14">
        <f t="shared" si="4"/>
        <v>17125</v>
      </c>
      <c r="E33" s="14">
        <f t="shared" si="4"/>
        <v>29736</v>
      </c>
      <c r="F33" s="12"/>
      <c r="G33" s="14">
        <f>SUM(G2:H32)</f>
        <v>1685</v>
      </c>
      <c r="H33" s="14">
        <f>SUM(H2:H32)</f>
        <v>197</v>
      </c>
      <c r="I33" s="12"/>
      <c r="J33" s="12"/>
      <c r="K33" s="12"/>
      <c r="L33" s="12"/>
      <c r="M33" s="15"/>
    </row>
    <row r="34" ht="14.25" customHeight="1">
      <c r="I34" s="17">
        <f>SUM(I2:I30)</f>
        <v>29834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33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26" width="9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3</v>
      </c>
    </row>
    <row r="4" ht="14.25" customHeight="1">
      <c r="A4" s="1"/>
    </row>
    <row r="5" ht="14.25" customHeight="1">
      <c r="A5" s="1" t="s">
        <v>4</v>
      </c>
      <c r="B5" s="3">
        <f>SUM('Daily Sales Record'!C2:C32)</f>
        <v>12611</v>
      </c>
    </row>
    <row r="6" ht="14.25" customHeight="1">
      <c r="A6" s="1" t="s">
        <v>16</v>
      </c>
      <c r="B6" s="3">
        <f>SUM('Daily Sales Record'!D2:D32)</f>
        <v>17125</v>
      </c>
    </row>
    <row r="7" ht="14.25" customHeight="1">
      <c r="A7" s="1" t="s">
        <v>19</v>
      </c>
      <c r="B7" s="3">
        <f>SUM('Daily Sales Record'!E2:E32)</f>
        <v>29736</v>
      </c>
    </row>
    <row r="8" ht="14.25" customHeight="1">
      <c r="A8" s="1" t="s">
        <v>20</v>
      </c>
      <c r="B8" s="3">
        <f>SUM('Daily Sales Record'!F2:F32)</f>
        <v>28149</v>
      </c>
    </row>
    <row r="9" ht="14.25" customHeight="1">
      <c r="A9" s="1" t="s">
        <v>21</v>
      </c>
      <c r="B9" s="3">
        <f>SUM('Daily Sales Record'!G2:G32)</f>
        <v>1488</v>
      </c>
    </row>
    <row r="10" ht="14.25" customHeight="1">
      <c r="A10" s="1" t="s">
        <v>22</v>
      </c>
      <c r="B10" s="3">
        <f>SUM('Daily Sales Record'!H2:H32)</f>
        <v>197</v>
      </c>
    </row>
    <row r="11" ht="14.25" customHeight="1">
      <c r="A11" s="1" t="s">
        <v>12</v>
      </c>
      <c r="B11" s="3">
        <f>SUM('Daily Sales Record'!I2:I32)</f>
        <v>29834</v>
      </c>
    </row>
    <row r="12" ht="14.25" customHeight="1">
      <c r="A12" s="1" t="s">
        <v>23</v>
      </c>
      <c r="B12" s="3">
        <f>SUM('Daily Sales Record'!J2:J32)</f>
        <v>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2026-08-13T04:00:00Z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C29316CDC3F84B3DAD237537333A18AE_13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