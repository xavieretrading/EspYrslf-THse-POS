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s &amp; Yield Analysis" sheetId="1" state="visible" r:id="rId1"/>
    <sheet name="Equipment &amp; Operating Suppl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₱&quot;#,##0.0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0D0C0"/>
      <sz val="10"/>
    </font>
    <font>
      <name val="Segoe UI"/>
      <b val="1"/>
      <color rgb="00FFFFFF"/>
      <sz val="10"/>
    </font>
    <font>
      <name val="Segoe UI"/>
      <b val="1"/>
      <color rgb="00333333"/>
      <sz val="10"/>
    </font>
    <font>
      <name val="Segoe UI"/>
      <i val="1"/>
      <color rgb="00666666"/>
      <sz val="9"/>
    </font>
    <font>
      <name val="Segoe U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4A3525"/>
        <bgColor rgb="004A3525"/>
      </patternFill>
    </fill>
    <fill>
      <patternFill patternType="solid">
        <fgColor rgb="00FDFBF7"/>
        <bgColor rgb="00FDFBF7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333333"/>
      </top>
      <bottom style="double">
        <color rgb="0033333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left"/>
    </xf>
    <xf numFmtId="164" fontId="6" fillId="3" borderId="1" pivotButton="0" quotePrefix="0" xfId="0"/>
    <xf numFmtId="164" fontId="4" fillId="3" borderId="1" pivotButton="0" quotePrefix="0" xfId="0"/>
    <xf numFmtId="0" fontId="5" fillId="3" borderId="1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164" fontId="6" fillId="4" borderId="1" pivotButton="0" quotePrefix="0" xfId="0"/>
    <xf numFmtId="164" fontId="4" fillId="4" borderId="1" pivotButton="0" quotePrefix="0" xfId="0"/>
    <xf numFmtId="0" fontId="5" fillId="4" borderId="1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164" fontId="4" fillId="0" borderId="2" pivotButton="0" quotePrefix="0" xfId="0"/>
    <xf numFmtId="0" fontId="4" fillId="0" borderId="2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12" customWidth="1" min="4" max="4"/>
    <col width="15" customWidth="1" min="5" max="5"/>
    <col width="22" customWidth="1" min="6" max="6"/>
    <col width="24" customWidth="1" min="7" max="7"/>
    <col width="65" customWidth="1" min="8" max="8"/>
  </cols>
  <sheetData>
    <row r="1" ht="40" customHeight="1">
      <c r="A1" s="1" t="inlineStr">
        <is>
          <t>ESPRESSO YOURSELF - INGREDIENTS &amp; BEVERAGE YIELD</t>
        </is>
      </c>
    </row>
    <row r="2" ht="20" customHeight="1">
      <c r="A2" s="2" t="inlineStr">
        <is>
          <t>Beverage yield analysis using exact recipe portions from 'Ingredients 20260817_153756.xlsx'</t>
        </is>
      </c>
    </row>
    <row r="3" ht="10" customHeight="1"/>
    <row r="4" ht="30" customHeight="1">
      <c r="A4" s="3" t="inlineStr">
        <is>
          <t>QTY</t>
        </is>
      </c>
      <c r="B4" s="3" t="inlineStr">
        <is>
          <t>UOM</t>
        </is>
      </c>
      <c r="C4" s="3" t="inlineStr">
        <is>
          <t>ITEM DESCRIPTION</t>
        </is>
      </c>
      <c r="D4" s="3" t="inlineStr">
        <is>
          <t>PRICE</t>
        </is>
      </c>
      <c r="E4" s="3" t="inlineStr">
        <is>
          <t>TOTAL PRICE</t>
        </is>
      </c>
      <c r="F4" s="3" t="inlineStr">
        <is>
          <t>EST. YIELD PER UNIT</t>
        </is>
      </c>
      <c r="G4" s="3" t="inlineStr">
        <is>
          <t>EST. TOTAL YIELD (CUPS)</t>
        </is>
      </c>
      <c r="H4" s="3" t="inlineStr">
        <is>
          <t>RECIPE PORTION &amp; CALCULATION BASIS</t>
        </is>
      </c>
    </row>
    <row r="5" ht="22" customHeight="1">
      <c r="A5" s="4" t="n">
        <v>10</v>
      </c>
      <c r="B5" s="4" t="inlineStr">
        <is>
          <t>PACK</t>
        </is>
      </c>
      <c r="C5" s="5" t="inlineStr">
        <is>
          <t>CONCEPT BLEND 1</t>
        </is>
      </c>
      <c r="D5" s="6" t="n">
        <v>980</v>
      </c>
      <c r="E5" s="7">
        <f>A5*D5</f>
        <v/>
      </c>
      <c r="F5" s="4" t="n">
        <v>55</v>
      </c>
      <c r="G5" s="4" t="n">
        <v>550</v>
      </c>
      <c r="H5" s="8" t="inlineStr">
        <is>
          <t>Portion: 18g double shot. Yield: 1000g / 18g = 55 cups per pack</t>
        </is>
      </c>
    </row>
    <row r="6" ht="22" customHeight="1">
      <c r="A6" s="9" t="n">
        <v>1</v>
      </c>
      <c r="B6" s="9" t="inlineStr">
        <is>
          <t>BOT</t>
        </is>
      </c>
      <c r="C6" s="10" t="inlineStr">
        <is>
          <t>SHOTT GUAVA 1L</t>
        </is>
      </c>
      <c r="D6" s="11" t="n">
        <v>890</v>
      </c>
      <c r="E6" s="12">
        <f>A6*D6</f>
        <v/>
      </c>
      <c r="F6" s="9" t="n">
        <v>33</v>
      </c>
      <c r="G6" s="9" t="n">
        <v>33</v>
      </c>
      <c r="H6" s="13" t="inlineStr">
        <is>
          <t>Portion: 30g per recipe. Yield: ~1000g / 30g = 33 cups per bottle</t>
        </is>
      </c>
    </row>
    <row r="7" ht="22" customHeight="1">
      <c r="A7" s="4" t="n">
        <v>1</v>
      </c>
      <c r="B7" s="4" t="inlineStr">
        <is>
          <t>BOT</t>
        </is>
      </c>
      <c r="C7" s="5" t="inlineStr">
        <is>
          <t>SHOTT MANGO 1L</t>
        </is>
      </c>
      <c r="D7" s="6" t="n">
        <v>890</v>
      </c>
      <c r="E7" s="7">
        <f>A7*D7</f>
        <v/>
      </c>
      <c r="F7" s="4" t="n">
        <v>33</v>
      </c>
      <c r="G7" s="4" t="n">
        <v>33</v>
      </c>
      <c r="H7" s="8" t="inlineStr">
        <is>
          <t>Portion: 30g per recipe. Yield: ~1000g / 30g = 33 cups per bottle</t>
        </is>
      </c>
    </row>
    <row r="8" ht="22" customHeight="1">
      <c r="A8" s="9" t="n">
        <v>1</v>
      </c>
      <c r="B8" s="9" t="inlineStr">
        <is>
          <t>BOT</t>
        </is>
      </c>
      <c r="C8" s="10" t="inlineStr">
        <is>
          <t>SHOTT POMEGRANATE 1L</t>
        </is>
      </c>
      <c r="D8" s="11" t="n">
        <v>890</v>
      </c>
      <c r="E8" s="12">
        <f>A8*D8</f>
        <v/>
      </c>
      <c r="F8" s="9" t="n">
        <v>33</v>
      </c>
      <c r="G8" s="9" t="n">
        <v>33</v>
      </c>
      <c r="H8" s="13" t="inlineStr">
        <is>
          <t>Portion: 30g per recipe. Yield: ~1000g / 30g = 33 cups per bottle</t>
        </is>
      </c>
    </row>
    <row r="9" ht="22" customHeight="1">
      <c r="A9" s="4" t="n">
        <v>1</v>
      </c>
      <c r="B9" s="4" t="inlineStr">
        <is>
          <t>BOT</t>
        </is>
      </c>
      <c r="C9" s="5" t="inlineStr">
        <is>
          <t>SHOTT LYCHEE 1L</t>
        </is>
      </c>
      <c r="D9" s="6" t="n">
        <v>890</v>
      </c>
      <c r="E9" s="7">
        <f>A9*D9</f>
        <v/>
      </c>
      <c r="F9" s="4" t="n">
        <v>33</v>
      </c>
      <c r="G9" s="4" t="n">
        <v>33</v>
      </c>
      <c r="H9" s="8" t="inlineStr">
        <is>
          <t>Portion: 30g per recipe. Yield: ~1000g / 30g = 33 cups per bottle</t>
        </is>
      </c>
    </row>
    <row r="10" ht="22" customHeight="1">
      <c r="A10" s="9" t="n">
        <v>1</v>
      </c>
      <c r="B10" s="9" t="inlineStr">
        <is>
          <t>BOT</t>
        </is>
      </c>
      <c r="C10" s="10" t="inlineStr">
        <is>
          <t>SHOTT MACADAMIA 1L</t>
        </is>
      </c>
      <c r="D10" s="11" t="n">
        <v>690</v>
      </c>
      <c r="E10" s="12">
        <f>A10*D10</f>
        <v/>
      </c>
      <c r="F10" s="9" t="n">
        <v>30</v>
      </c>
      <c r="G10" s="9" t="n">
        <v>30</v>
      </c>
      <c r="H10" s="13" t="inlineStr">
        <is>
          <t>Portion: 40g per recipe. Yield: ~1200g / 40g = 30 cups per bottle</t>
        </is>
      </c>
    </row>
    <row r="11" ht="22" customHeight="1">
      <c r="A11" s="4" t="n">
        <v>1</v>
      </c>
      <c r="B11" s="4" t="inlineStr">
        <is>
          <t>BOT</t>
        </is>
      </c>
      <c r="C11" s="5" t="inlineStr">
        <is>
          <t>SHOTT IRISH CREAM 1L</t>
        </is>
      </c>
      <c r="D11" s="6" t="n">
        <v>690</v>
      </c>
      <c r="E11" s="7">
        <f>A11*D11</f>
        <v/>
      </c>
      <c r="F11" s="4" t="n">
        <v>30</v>
      </c>
      <c r="G11" s="4" t="n">
        <v>30</v>
      </c>
      <c r="H11" s="8" t="inlineStr">
        <is>
          <t>Portion: 40g per recipe. Yield: ~1200g / 40g = 30 cups per bottle</t>
        </is>
      </c>
    </row>
    <row r="12" ht="22" customHeight="1">
      <c r="A12" s="9" t="n">
        <v>1</v>
      </c>
      <c r="B12" s="9" t="inlineStr">
        <is>
          <t>BOT</t>
        </is>
      </c>
      <c r="C12" s="10" t="inlineStr">
        <is>
          <t>SHOTT VANILLA 1L</t>
        </is>
      </c>
      <c r="D12" s="11" t="n">
        <v>690</v>
      </c>
      <c r="E12" s="12">
        <f>A12*D12</f>
        <v/>
      </c>
      <c r="F12" s="9" t="n">
        <v>30</v>
      </c>
      <c r="G12" s="9" t="n">
        <v>30</v>
      </c>
      <c r="H12" s="13" t="inlineStr">
        <is>
          <t>Portion: 40g per recipe. Yield: ~1200g / 40g = 30 cups per bottle</t>
        </is>
      </c>
    </row>
    <row r="13" ht="22" customHeight="1">
      <c r="A13" s="4" t="n">
        <v>1</v>
      </c>
      <c r="B13" s="4" t="inlineStr">
        <is>
          <t>BOT</t>
        </is>
      </c>
      <c r="C13" s="5" t="inlineStr">
        <is>
          <t>HI FRUCTOSE CORN SYRUP 500ML</t>
        </is>
      </c>
      <c r="D13" s="6" t="n">
        <v>94</v>
      </c>
      <c r="E13" s="7">
        <f>A13*D13</f>
        <v/>
      </c>
      <c r="F13" s="4" t="n">
        <v>33</v>
      </c>
      <c r="G13" s="4" t="n">
        <v>33</v>
      </c>
      <c r="H13" s="8" t="inlineStr">
        <is>
          <t>Portion: 5g - 40g (Avg: 15g). Yield: ~500g / 15g = 33 cups per bottle</t>
        </is>
      </c>
    </row>
    <row r="14" ht="22" customHeight="1">
      <c r="A14" s="9" t="n">
        <v>10</v>
      </c>
      <c r="B14" s="9" t="inlineStr">
        <is>
          <t>PACK</t>
        </is>
      </c>
      <c r="C14" s="10" t="inlineStr">
        <is>
          <t>ARLA FULL CREAM MILK 1L</t>
        </is>
      </c>
      <c r="D14" s="11" t="n">
        <v>99</v>
      </c>
      <c r="E14" s="12">
        <f>A14*D14</f>
        <v/>
      </c>
      <c r="F14" s="9" t="n">
        <v>6.6</v>
      </c>
      <c r="G14" s="9" t="n">
        <v>66</v>
      </c>
      <c r="H14" s="13" t="inlineStr">
        <is>
          <t>Portion: 130g (Cold) - 180g (Hot Small). Yield: ~1000g / 150g = 6.6 cups per pack</t>
        </is>
      </c>
    </row>
    <row r="15" ht="22" customHeight="1">
      <c r="A15" s="4" t="n">
        <v>24</v>
      </c>
      <c r="B15" s="4" t="inlineStr">
        <is>
          <t>CAN</t>
        </is>
      </c>
      <c r="C15" s="5" t="inlineStr">
        <is>
          <t>DOREEN CONDENSED MILK 390G</t>
        </is>
      </c>
      <c r="D15" s="6" t="n">
        <v>44</v>
      </c>
      <c r="E15" s="7">
        <f>A15*D15</f>
        <v/>
      </c>
      <c r="F15" s="4" t="n">
        <v>11</v>
      </c>
      <c r="G15" s="4" t="n">
        <v>264</v>
      </c>
      <c r="H15" s="8" t="inlineStr">
        <is>
          <t>Portion: 30g (Small) - 40g (Large). Yield: 390g / 35g = 11 cups per can</t>
        </is>
      </c>
    </row>
    <row r="16" ht="22" customHeight="1">
      <c r="A16" s="9" t="n">
        <v>1</v>
      </c>
      <c r="B16" s="9" t="inlineStr">
        <is>
          <t>PACK</t>
        </is>
      </c>
      <c r="C16" s="10" t="inlineStr">
        <is>
          <t>EASY DARK CHOCOLATE 1KL</t>
        </is>
      </c>
      <c r="D16" s="11" t="n">
        <v>396</v>
      </c>
      <c r="E16" s="12">
        <f>A16*D16</f>
        <v/>
      </c>
      <c r="F16" s="9" t="n">
        <v>33</v>
      </c>
      <c r="G16" s="9" t="n">
        <v>33</v>
      </c>
      <c r="H16" s="13" t="inlineStr">
        <is>
          <t>Portion: 30g for mocha/cocoa. Yield: 1000g / 30g = 33 cups per pack</t>
        </is>
      </c>
    </row>
    <row r="17" ht="22" customHeight="1">
      <c r="A17" s="4" t="n">
        <v>4</v>
      </c>
      <c r="B17" s="4" t="inlineStr">
        <is>
          <t>BOT</t>
        </is>
      </c>
      <c r="C17" s="5" t="inlineStr">
        <is>
          <t>SPRITE 1.5L</t>
        </is>
      </c>
      <c r="D17" s="6" t="n">
        <v>69.5</v>
      </c>
      <c r="E17" s="7">
        <f>A17*D17</f>
        <v/>
      </c>
      <c r="F17" s="4" t="n">
        <v>11.5</v>
      </c>
      <c r="G17" s="4" t="n">
        <v>46</v>
      </c>
      <c r="H17" s="8" t="inlineStr">
        <is>
          <t>Portion: 130ml per fruit cooler. Yield: 1500ml / 130ml = 11.5 cups per bottle</t>
        </is>
      </c>
    </row>
    <row r="18" ht="22" customHeight="1">
      <c r="A18" s="9" t="n">
        <v>2</v>
      </c>
      <c r="B18" s="9" t="inlineStr">
        <is>
          <t>PACK</t>
        </is>
      </c>
      <c r="C18" s="10" t="inlineStr">
        <is>
          <t>SOY MILK</t>
        </is>
      </c>
      <c r="D18" s="11" t="n">
        <v>87.5</v>
      </c>
      <c r="E18" s="12">
        <f>A18*D18</f>
        <v/>
      </c>
      <c r="F18" s="9" t="n">
        <v>5.5</v>
      </c>
      <c r="G18" s="9" t="n">
        <v>11</v>
      </c>
      <c r="H18" s="13" t="inlineStr">
        <is>
          <t>Portion: 180g alternative serving. Yield: ~1000g / 180g = 5.5 cups per pack</t>
        </is>
      </c>
    </row>
    <row r="19" ht="22" customHeight="1">
      <c r="A19" s="4" t="n">
        <v>1</v>
      </c>
      <c r="B19" s="4" t="inlineStr">
        <is>
          <t>PACK</t>
        </is>
      </c>
      <c r="C19" s="5" t="inlineStr">
        <is>
          <t>EQUAL S. SACHET 50'S</t>
        </is>
      </c>
      <c r="D19" s="6" t="n">
        <v>167.5</v>
      </c>
      <c r="E19" s="7">
        <f>A19*D19</f>
        <v/>
      </c>
      <c r="F19" s="4" t="n">
        <v>50</v>
      </c>
      <c r="G19" s="4" t="n">
        <v>50</v>
      </c>
      <c r="H19" s="8" t="inlineStr">
        <is>
          <t>Portion: 1 sachet per sweet serving. Yield: 50 cups per pack</t>
        </is>
      </c>
    </row>
    <row r="20" ht="24" customHeight="1">
      <c r="C20" s="14" t="inlineStr">
        <is>
          <t>Total Ingredients Value:</t>
        </is>
      </c>
      <c r="E20" s="15">
        <f>SUM(E5:E19)</f>
        <v/>
      </c>
      <c r="G20" s="16">
        <f>SUM(G5:G19)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8" customWidth="1" min="3" max="3"/>
    <col width="12" customWidth="1" min="4" max="4"/>
    <col width="15" customWidth="1" min="5" max="5"/>
    <col width="26" customWidth="1" min="6" max="6"/>
  </cols>
  <sheetData>
    <row r="1" ht="40" customHeight="1">
      <c r="A1" s="1" t="inlineStr">
        <is>
          <t>ESPRESSO YOURSELF - EQUIPMENT &amp; OPERATING SUPPLIES</t>
        </is>
      </c>
    </row>
    <row r="2" ht="20" customHeight="1">
      <c r="A2" s="2" t="inlineStr">
        <is>
          <t>Inventory tracking of café machinery, operating tools, service items, and cleaning supplies</t>
        </is>
      </c>
    </row>
    <row r="3" ht="10" customHeight="1"/>
    <row r="4" ht="30" customHeight="1">
      <c r="A4" s="17" t="inlineStr">
        <is>
          <t>QTY</t>
        </is>
      </c>
      <c r="B4" s="17" t="inlineStr">
        <is>
          <t>UOM</t>
        </is>
      </c>
      <c r="C4" s="17" t="inlineStr">
        <is>
          <t>ITEM DESCRIPTION</t>
        </is>
      </c>
      <c r="D4" s="17" t="inlineStr">
        <is>
          <t>PRICE</t>
        </is>
      </c>
      <c r="E4" s="17" t="inlineStr">
        <is>
          <t>TOTAL PRICE</t>
        </is>
      </c>
      <c r="F4" s="17" t="inlineStr">
        <is>
          <t>OPERATIONAL CATEGORY</t>
        </is>
      </c>
    </row>
    <row r="5" ht="22" customHeight="1">
      <c r="A5" s="4" t="n">
        <v>1</v>
      </c>
      <c r="B5" s="4" t="inlineStr">
        <is>
          <t>PC</t>
        </is>
      </c>
      <c r="C5" s="5" t="inlineStr">
        <is>
          <t>STEAMING PITCHER MATTE BLACK 600ML</t>
        </is>
      </c>
      <c r="D5" s="6" t="n">
        <v>2180</v>
      </c>
      <c r="E5" s="7">
        <f>A5*D5</f>
        <v/>
      </c>
      <c r="F5" s="4" t="inlineStr">
        <is>
          <t>Bar Tools &amp; Equipment</t>
        </is>
      </c>
    </row>
    <row r="6" ht="22" customHeight="1">
      <c r="A6" s="9" t="n">
        <v>1</v>
      </c>
      <c r="B6" s="9" t="inlineStr">
        <is>
          <t>BOT</t>
        </is>
      </c>
      <c r="C6" s="10" t="inlineStr">
        <is>
          <t>DR. COFFEE DESCALING POWDER</t>
        </is>
      </c>
      <c r="D6" s="11" t="n">
        <v>1000</v>
      </c>
      <c r="E6" s="12">
        <f>A6*D6</f>
        <v/>
      </c>
      <c r="F6" s="9" t="inlineStr">
        <is>
          <t>Cleaning &amp; Maintenance</t>
        </is>
      </c>
    </row>
    <row r="7" ht="22" customHeight="1">
      <c r="A7" s="4" t="n">
        <v>1</v>
      </c>
      <c r="B7" s="4" t="inlineStr">
        <is>
          <t>BOT</t>
        </is>
      </c>
      <c r="C7" s="5" t="inlineStr">
        <is>
          <t>DR. COFFEE MILK DEEP CLEAN</t>
        </is>
      </c>
      <c r="D7" s="6" t="n">
        <v>2800</v>
      </c>
      <c r="E7" s="7">
        <f>A7*D7</f>
        <v/>
      </c>
      <c r="F7" s="4" t="inlineStr">
        <is>
          <t>Cleaning &amp; Maintenance</t>
        </is>
      </c>
    </row>
    <row r="8" ht="22" customHeight="1">
      <c r="A8" s="9" t="n">
        <v>1</v>
      </c>
      <c r="B8" s="9" t="inlineStr">
        <is>
          <t>PACK</t>
        </is>
      </c>
      <c r="C8" s="10" t="inlineStr">
        <is>
          <t>JADE PRE-CUT TISSUE 100'S</t>
        </is>
      </c>
      <c r="D8" s="11" t="n">
        <v>80</v>
      </c>
      <c r="E8" s="12">
        <f>A8*D8</f>
        <v/>
      </c>
      <c r="F8" s="9" t="inlineStr">
        <is>
          <t>Operating Supplies</t>
        </is>
      </c>
    </row>
    <row r="9" ht="22" customHeight="1">
      <c r="A9" s="4" t="n">
        <v>2</v>
      </c>
      <c r="B9" s="4" t="inlineStr">
        <is>
          <t>PACK</t>
        </is>
      </c>
      <c r="C9" s="5" t="inlineStr">
        <is>
          <t>WOODEN COFFEE STIRRER</t>
        </is>
      </c>
      <c r="D9" s="6" t="n">
        <v>25</v>
      </c>
      <c r="E9" s="7">
        <f>A9*D9</f>
        <v/>
      </c>
      <c r="F9" s="4" t="inlineStr">
        <is>
          <t>Operating Supplies</t>
        </is>
      </c>
    </row>
    <row r="10" ht="22" customHeight="1">
      <c r="A10" s="9" t="n">
        <v>1</v>
      </c>
      <c r="B10" s="9" t="inlineStr">
        <is>
          <t>PC</t>
        </is>
      </c>
      <c r="C10" s="10" t="inlineStr">
        <is>
          <t>CONDIMENT ORGANIZER</t>
        </is>
      </c>
      <c r="D10" s="11" t="n">
        <v>420</v>
      </c>
      <c r="E10" s="12">
        <f>A10*D10</f>
        <v/>
      </c>
      <c r="F10" s="9" t="inlineStr">
        <is>
          <t>Bar Tools &amp; Equipment</t>
        </is>
      </c>
    </row>
    <row r="11" ht="22" customHeight="1">
      <c r="A11" s="4" t="n">
        <v>2</v>
      </c>
      <c r="B11" s="4" t="inlineStr">
        <is>
          <t>PACK</t>
        </is>
      </c>
      <c r="C11" s="5" t="inlineStr">
        <is>
          <t>SERVING TRAY</t>
        </is>
      </c>
      <c r="D11" s="6" t="n">
        <v>156</v>
      </c>
      <c r="E11" s="7">
        <f>A11*D11</f>
        <v/>
      </c>
      <c r="F11" s="4" t="inlineStr">
        <is>
          <t>Bar Tools &amp; Equipment</t>
        </is>
      </c>
    </row>
    <row r="12" ht="22" customHeight="1">
      <c r="A12" s="9" t="n">
        <v>1</v>
      </c>
      <c r="B12" s="9" t="inlineStr">
        <is>
          <t>PC</t>
        </is>
      </c>
      <c r="C12" s="10" t="inlineStr">
        <is>
          <t>CUP HOLDER</t>
        </is>
      </c>
      <c r="D12" s="11" t="n">
        <v>498</v>
      </c>
      <c r="E12" s="12">
        <f>A12*D12</f>
        <v/>
      </c>
      <c r="F12" s="9" t="inlineStr">
        <is>
          <t>Bar Tools &amp; Equipment</t>
        </is>
      </c>
    </row>
    <row r="13" ht="22" customHeight="1">
      <c r="A13" s="4" t="n">
        <v>1</v>
      </c>
      <c r="B13" s="4" t="inlineStr">
        <is>
          <t>PC</t>
        </is>
      </c>
      <c r="C13" s="5" t="inlineStr">
        <is>
          <t>BAR SPOON GLOSSY</t>
        </is>
      </c>
      <c r="D13" s="6" t="n">
        <v>110</v>
      </c>
      <c r="E13" s="7">
        <f>A13*D13</f>
        <v/>
      </c>
      <c r="F13" s="4" t="inlineStr">
        <is>
          <t>Bar Tools &amp; Equipment</t>
        </is>
      </c>
    </row>
    <row r="14" ht="22" customHeight="1">
      <c r="A14" s="9" t="n">
        <v>2</v>
      </c>
      <c r="B14" s="9" t="inlineStr">
        <is>
          <t>PC</t>
        </is>
      </c>
      <c r="C14" s="10" t="inlineStr">
        <is>
          <t>ACRYLIC JIGGER 10ML/20ML</t>
        </is>
      </c>
      <c r="D14" s="11" t="n">
        <v>60</v>
      </c>
      <c r="E14" s="12">
        <f>A14*D14</f>
        <v/>
      </c>
      <c r="F14" s="9" t="inlineStr">
        <is>
          <t>Bar Tools &amp; Equipment</t>
        </is>
      </c>
    </row>
    <row r="15" ht="22" customHeight="1">
      <c r="A15" s="4" t="n">
        <v>1</v>
      </c>
      <c r="B15" s="4" t="inlineStr">
        <is>
          <t>PACK</t>
        </is>
      </c>
      <c r="C15" s="5" t="inlineStr">
        <is>
          <t>GARBAGE BAG 50'S 26X32</t>
        </is>
      </c>
      <c r="D15" s="6" t="n">
        <v>300</v>
      </c>
      <c r="E15" s="7">
        <f>A15*D15</f>
        <v/>
      </c>
      <c r="F15" s="4" t="inlineStr">
        <is>
          <t>Operating Supplies</t>
        </is>
      </c>
    </row>
    <row r="16" ht="22" customHeight="1">
      <c r="A16" s="9" t="n">
        <v>1</v>
      </c>
      <c r="B16" s="9" t="inlineStr">
        <is>
          <t>PC</t>
        </is>
      </c>
      <c r="C16" s="10" t="inlineStr">
        <is>
          <t>BAR MAT</t>
        </is>
      </c>
      <c r="D16" s="11" t="n">
        <v>320</v>
      </c>
      <c r="E16" s="12">
        <f>A16*D16</f>
        <v/>
      </c>
      <c r="F16" s="9" t="inlineStr">
        <is>
          <t>Bar Tools &amp; Equipment</t>
        </is>
      </c>
    </row>
    <row r="17" ht="22" customHeight="1">
      <c r="A17" s="4" t="n">
        <v>1</v>
      </c>
      <c r="B17" s="4" t="inlineStr">
        <is>
          <t>PC</t>
        </is>
      </c>
      <c r="C17" s="5" t="inlineStr">
        <is>
          <t>ICE BOX</t>
        </is>
      </c>
      <c r="D17" s="6" t="n">
        <v>784</v>
      </c>
      <c r="E17" s="7">
        <f>A17*D17</f>
        <v/>
      </c>
      <c r="F17" s="4" t="inlineStr">
        <is>
          <t>Bar Tools &amp; Equipment</t>
        </is>
      </c>
    </row>
    <row r="18" ht="22" customHeight="1">
      <c r="A18" s="9" t="n">
        <v>1</v>
      </c>
      <c r="B18" s="9" t="inlineStr">
        <is>
          <t>PC</t>
        </is>
      </c>
      <c r="C18" s="10" t="inlineStr">
        <is>
          <t>TRASH CAN 30L</t>
        </is>
      </c>
      <c r="D18" s="11" t="n">
        <v>850</v>
      </c>
      <c r="E18" s="12">
        <f>A18*D18</f>
        <v/>
      </c>
      <c r="F18" s="9" t="inlineStr">
        <is>
          <t>Bar Tools &amp; Equipment</t>
        </is>
      </c>
    </row>
    <row r="19" ht="22" customHeight="1">
      <c r="A19" s="4" t="n">
        <v>1</v>
      </c>
      <c r="B19" s="4" t="inlineStr">
        <is>
          <t>PC</t>
        </is>
      </c>
      <c r="C19" s="5" t="inlineStr">
        <is>
          <t>FIBER CLOTH</t>
        </is>
      </c>
      <c r="D19" s="6" t="n">
        <v>115</v>
      </c>
      <c r="E19" s="7">
        <f>A19*D19</f>
        <v/>
      </c>
      <c r="F19" s="4" t="inlineStr">
        <is>
          <t>Cleaning &amp; Maintenance</t>
        </is>
      </c>
    </row>
    <row r="20" ht="22" customHeight="1">
      <c r="A20" s="9" t="n">
        <v>1</v>
      </c>
      <c r="B20" s="9" t="inlineStr">
        <is>
          <t>PC</t>
        </is>
      </c>
      <c r="C20" s="10" t="inlineStr">
        <is>
          <t>CAN OPENER</t>
        </is>
      </c>
      <c r="D20" s="11" t="n">
        <v>129</v>
      </c>
      <c r="E20" s="12">
        <f>A20*D20</f>
        <v/>
      </c>
      <c r="F20" s="9" t="inlineStr">
        <is>
          <t>Bar Tools &amp; Equipment</t>
        </is>
      </c>
    </row>
    <row r="21" ht="22" customHeight="1">
      <c r="A21" s="4" t="n">
        <v>1</v>
      </c>
      <c r="B21" s="4" t="inlineStr">
        <is>
          <t>PC</t>
        </is>
      </c>
      <c r="C21" s="5" t="inlineStr">
        <is>
          <t>SCISSORS</t>
        </is>
      </c>
      <c r="D21" s="6" t="n">
        <v>119</v>
      </c>
      <c r="E21" s="7">
        <f>A21*D21</f>
        <v/>
      </c>
      <c r="F21" s="4" t="inlineStr">
        <is>
          <t>Bar Tools &amp; Equipment</t>
        </is>
      </c>
    </row>
    <row r="22" ht="22" customHeight="1">
      <c r="A22" s="9" t="n">
        <v>1</v>
      </c>
      <c r="B22" s="9" t="inlineStr">
        <is>
          <t>PC</t>
        </is>
      </c>
      <c r="C22" s="10" t="inlineStr">
        <is>
          <t>RECIPE BOOK</t>
        </is>
      </c>
      <c r="D22" s="11" t="n">
        <v>72</v>
      </c>
      <c r="E22" s="12">
        <f>A22*D22</f>
        <v/>
      </c>
      <c r="F22" s="9" t="inlineStr">
        <is>
          <t>Bar Tools &amp; Equipment</t>
        </is>
      </c>
    </row>
    <row r="23" ht="22" customHeight="1">
      <c r="A23" s="4" t="n">
        <v>1</v>
      </c>
      <c r="B23" s="4" t="inlineStr">
        <is>
          <t>PCS</t>
        </is>
      </c>
      <c r="C23" s="5" t="inlineStr">
        <is>
          <t>TAPE</t>
        </is>
      </c>
      <c r="D23" s="6" t="n">
        <v>159</v>
      </c>
      <c r="E23" s="7">
        <f>A23*D23</f>
        <v/>
      </c>
      <c r="F23" s="4" t="inlineStr">
        <is>
          <t>Operating Supplies</t>
        </is>
      </c>
    </row>
    <row r="24" ht="22" customHeight="1">
      <c r="A24" s="9" t="n">
        <v>1</v>
      </c>
      <c r="B24" s="9" t="inlineStr">
        <is>
          <t>PC</t>
        </is>
      </c>
      <c r="C24" s="10" t="inlineStr">
        <is>
          <t>WHITEBOARD MARKER</t>
        </is>
      </c>
      <c r="D24" s="11" t="n">
        <v>64</v>
      </c>
      <c r="E24" s="12">
        <f>A24*D24</f>
        <v/>
      </c>
      <c r="F24" s="9" t="inlineStr">
        <is>
          <t>Operating Supplies</t>
        </is>
      </c>
    </row>
    <row r="25" ht="22" customHeight="1">
      <c r="A25" s="4" t="n">
        <v>1</v>
      </c>
      <c r="B25" s="4" t="inlineStr">
        <is>
          <t>PC</t>
        </is>
      </c>
      <c r="C25" s="5" t="inlineStr">
        <is>
          <t>AKARI ADAPTOR</t>
        </is>
      </c>
      <c r="D25" s="6" t="n">
        <v>69</v>
      </c>
      <c r="E25" s="7">
        <f>A25*D25</f>
        <v/>
      </c>
      <c r="F25" s="4" t="inlineStr">
        <is>
          <t>Utilities &amp; Fixtures</t>
        </is>
      </c>
    </row>
    <row r="26" ht="22" customHeight="1">
      <c r="A26" s="9" t="n">
        <v>1</v>
      </c>
      <c r="B26" s="9" t="inlineStr">
        <is>
          <t>PC</t>
        </is>
      </c>
      <c r="C26" s="10" t="inlineStr">
        <is>
          <t>CASH BOX</t>
        </is>
      </c>
      <c r="D26" s="11" t="n">
        <v>530</v>
      </c>
      <c r="E26" s="12">
        <f>A26*D26</f>
        <v/>
      </c>
      <c r="F26" s="9" t="inlineStr">
        <is>
          <t>Utilities &amp; Fixtures</t>
        </is>
      </c>
    </row>
    <row r="27" ht="22" customHeight="1">
      <c r="A27" s="4" t="n">
        <v>1</v>
      </c>
      <c r="B27" s="4" t="inlineStr">
        <is>
          <t>PC</t>
        </is>
      </c>
      <c r="C27" s="5" t="inlineStr">
        <is>
          <t>UNIVERSAL OUTLET</t>
        </is>
      </c>
      <c r="D27" s="6" t="n">
        <v>298</v>
      </c>
      <c r="E27" s="7">
        <f>A27*D27</f>
        <v/>
      </c>
      <c r="F27" s="4" t="inlineStr">
        <is>
          <t>Utilities &amp; Fixtures</t>
        </is>
      </c>
    </row>
    <row r="28" ht="22" customHeight="1">
      <c r="A28" s="9" t="n">
        <v>1</v>
      </c>
      <c r="B28" s="9" t="inlineStr">
        <is>
          <t>PC</t>
        </is>
      </c>
      <c r="C28" s="10" t="inlineStr">
        <is>
          <t>AIR PUMP BALLON</t>
        </is>
      </c>
      <c r="D28" s="11" t="n">
        <v>39</v>
      </c>
      <c r="E28" s="12">
        <f>A28*D28</f>
        <v/>
      </c>
      <c r="F28" s="9" t="inlineStr">
        <is>
          <t>Operating Supplies</t>
        </is>
      </c>
    </row>
    <row r="29" ht="22" customHeight="1">
      <c r="A29" s="4" t="n">
        <v>1</v>
      </c>
      <c r="B29" s="4" t="inlineStr">
        <is>
          <t>PACK</t>
        </is>
      </c>
      <c r="C29" s="5" t="inlineStr">
        <is>
          <t>BALLOON</t>
        </is>
      </c>
      <c r="D29" s="6" t="n">
        <v>65</v>
      </c>
      <c r="E29" s="7">
        <f>A29*D29</f>
        <v/>
      </c>
      <c r="F29" s="4" t="inlineStr">
        <is>
          <t>Operating Supplies</t>
        </is>
      </c>
    </row>
    <row r="30" ht="24" customHeight="1">
      <c r="C30" s="14" t="inlineStr">
        <is>
          <t>Total Equipment &amp; Supplies Value:</t>
        </is>
      </c>
      <c r="E30" s="15">
        <f>SUM(E5:E29)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2026-08-25T06:50:18Z</dcterms:created>
  <dcterms:modified xsi:type="dcterms:W3CDTF">2026-08-25T06:50:18Z</dcterms:modified>
</cp:coreProperties>
</file>